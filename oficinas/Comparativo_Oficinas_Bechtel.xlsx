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Unidades" sheetId="3" state="visible" r:id="rId5"/>
    <sheet name="Detall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<sst xmlns="http://schemas.openxmlformats.org/spreadsheetml/2006/main" count="204" uniqueCount="114">
  <si>
    <t xml:space="preserve">Comparativo de alternativas de oficina — Bechtel</t>
  </si>
  <si>
    <t xml:space="preserve">Concepto</t>
  </si>
  <si>
    <t xml:space="preserve">Alt. 1
Plaza San Damián
302 + 203 + Zócalo</t>
  </si>
  <si>
    <t xml:space="preserve">Alt. 2
Parque San Damián
piso completo</t>
  </si>
  <si>
    <t xml:space="preserve">Alt. 3
Edificio Indumotora
piso completo</t>
  </si>
  <si>
    <t xml:space="preserve">Superficie oficinas (m2)</t>
  </si>
  <si>
    <t xml:space="preserve">Oficina(s)</t>
  </si>
  <si>
    <t xml:space="preserve">MENSUAL (UF, neto)</t>
  </si>
  <si>
    <t xml:space="preserve">Arriendo oficinas</t>
  </si>
  <si>
    <t xml:space="preserve">Estacionamientos</t>
  </si>
  <si>
    <t xml:space="preserve">Bodega</t>
  </si>
  <si>
    <t xml:space="preserve">Gastos comunes (estimado)</t>
  </si>
  <si>
    <t xml:space="preserve">IVA</t>
  </si>
  <si>
    <t xml:space="preserve">Total mensual (UF)</t>
  </si>
  <si>
    <t xml:space="preserve">Total mensual (CLP)</t>
  </si>
  <si>
    <t xml:space="preserve">Costo efectivo (UF/m2 oficina, c/IVA y GGCC)</t>
  </si>
  <si>
    <t xml:space="preserve">PERÍODO COMPLETO (UF)</t>
  </si>
  <si>
    <t xml:space="preserve">Arriendo + GGCC del período</t>
  </si>
  <si>
    <t xml:space="preserve">Comisión JLL (c/IVA)</t>
  </si>
  <si>
    <t xml:space="preserve">Habilitación / mobiliario</t>
  </si>
  <si>
    <t xml:space="preserve">Costo total período (UF)</t>
  </si>
  <si>
    <t xml:space="preserve">Costo total período (CLP)</t>
  </si>
  <si>
    <t xml:space="preserve">Estado de entrega</t>
  </si>
  <si>
    <t xml:space="preserve">Oficinas habilitadas (opción mobiliario) + zócalo en bruto</t>
  </si>
  <si>
    <t xml:space="preserve">En obra gruesa (requiere habilitación)</t>
  </si>
  <si>
    <t xml:space="preserve">Habilitada</t>
  </si>
  <si>
    <t xml:space="preserve">• Supuestos editables en hoja 'Supuestos' (UF, IVA, plazo, N° estacionamientos, m2 bodega, precios por edificio).</t>
  </si>
  <si>
    <t xml:space="preserve">• Para cambiar la oficina de la Alt. 2 o 3 (u oficinas de la Alt. 1), use la lista desplegable en la hoja 'Detalle'.</t>
  </si>
  <si>
    <t xml:space="preserve">• No incluye costos de habilitación, mudanza, garantía (usualmente 1-2 meses) ni consumos (luz, agua, internet).</t>
  </si>
  <si>
    <t xml:space="preserve">Supuestos generales (editar celdas en azul / amarillo)</t>
  </si>
  <si>
    <t xml:space="preserve">Valor UF (CLP)</t>
  </si>
  <si>
    <t xml:space="preserve">Actualizar con UF del día (sii.cl). Valor referencial.</t>
  </si>
  <si>
    <t xml:space="preserve">Se aplica sobre arriendo de oficinas, estacionamientos y bodega.</t>
  </si>
  <si>
    <t xml:space="preserve">Plazo contrato (meses)</t>
  </si>
  <si>
    <t xml:space="preserve">Según correo: todas las opciones por 1 año.</t>
  </si>
  <si>
    <t xml:space="preserve">Comisión JLL (% del contrato)</t>
  </si>
  <si>
    <t xml:space="preserve">PDF JLL: 2% + IVA del contrato, mínimo 1 mes de arriendo + IVA.</t>
  </si>
  <si>
    <t xml:space="preserve">Estacionamientos por alternativa</t>
  </si>
  <si>
    <t xml:space="preserve">Solicitado por usuaria.</t>
  </si>
  <si>
    <t xml:space="preserve">Bodega (m2) por alternativa</t>
  </si>
  <si>
    <t xml:space="preserve">Precios por edificio</t>
  </si>
  <si>
    <t xml:space="preserve">Edificio</t>
  </si>
  <si>
    <t xml:space="preserve">Estac. (UF/un/mes)</t>
  </si>
  <si>
    <t xml:space="preserve">Bodega (UF/m2/mes)</t>
  </si>
  <si>
    <t xml:space="preserve">GGCC (UF/m2/mes)</t>
  </si>
  <si>
    <t xml:space="preserve">Fuente / nota</t>
  </si>
  <si>
    <t xml:space="preserve">Plaza San Damián</t>
  </si>
  <si>
    <t xml:space="preserve">PDF JLL (Of. 203 B y ficha edificio).</t>
  </si>
  <si>
    <t xml:space="preserve">Parque San Damián</t>
  </si>
  <si>
    <t xml:space="preserve">PDF JLL (Of. 900-1300 B y ficha edificio).</t>
  </si>
  <si>
    <t xml:space="preserve">Edificio Indumotora</t>
  </si>
  <si>
    <t xml:space="preserve">SUPUESTO: PDF no informa estac., bodega ni GGCC ('Consultar'). Confirmar con JLL.</t>
  </si>
  <si>
    <t xml:space="preserve">Leyenda:</t>
  </si>
  <si>
    <t xml:space="preserve">Texto azul = dato ingresado (editable)   ·   Fondo amarillo = supuesto / por confirmar   ·   Texto negro = fórmula   ·   Texto verde = vínculo a otra hoja</t>
  </si>
  <si>
    <t xml:space="preserve">Unidades disponibles (fuente: PDF JLL Sept-2026 + correo)</t>
  </si>
  <si>
    <t xml:space="preserve">Unidad</t>
  </si>
  <si>
    <t xml:space="preserve">Superficie (m2)</t>
  </si>
  <si>
    <t xml:space="preserve">Arriendo (UF/m2/mes)</t>
  </si>
  <si>
    <t xml:space="preserve">Estado</t>
  </si>
  <si>
    <t xml:space="preserve">Fuente</t>
  </si>
  <si>
    <t xml:space="preserve">Oficina 302 A</t>
  </si>
  <si>
    <t xml:space="preserve">Habilitada (opción mobiliario)</t>
  </si>
  <si>
    <t xml:space="preserve">PDF 3.2</t>
  </si>
  <si>
    <t xml:space="preserve">Oficina 203 B</t>
  </si>
  <si>
    <t xml:space="preserve">PDF 3.1</t>
  </si>
  <si>
    <t xml:space="preserve">Zócalo</t>
  </si>
  <si>
    <t xml:space="preserve">En bruto</t>
  </si>
  <si>
    <t xml:space="preserve">Correo broker; valor 0,35 UF/m2 informado aparte (no está en PDF)</t>
  </si>
  <si>
    <t xml:space="preserve">Oficina 900 B</t>
  </si>
  <si>
    <t xml:space="preserve">Obra gruesa</t>
  </si>
  <si>
    <t xml:space="preserve">PDF 2.9</t>
  </si>
  <si>
    <t xml:space="preserve">Oficina 1000 B</t>
  </si>
  <si>
    <t xml:space="preserve">PDF 2.1</t>
  </si>
  <si>
    <t xml:space="preserve">Oficina 1100 B</t>
  </si>
  <si>
    <t xml:space="preserve">PDF 2.2</t>
  </si>
  <si>
    <t xml:space="preserve">Oficina 1200 B</t>
  </si>
  <si>
    <t xml:space="preserve">PDF 2.3</t>
  </si>
  <si>
    <t xml:space="preserve">Oficina 1300 B</t>
  </si>
  <si>
    <t xml:space="preserve">PDF 2.4</t>
  </si>
  <si>
    <t xml:space="preserve">Oficina 500</t>
  </si>
  <si>
    <t xml:space="preserve">PDF 1.1</t>
  </si>
  <si>
    <t xml:space="preserve">Oficina 600</t>
  </si>
  <si>
    <t xml:space="preserve">PDF 1.2</t>
  </si>
  <si>
    <t xml:space="preserve">Oficina 900</t>
  </si>
  <si>
    <t xml:space="preserve">PDF 1.3</t>
  </si>
  <si>
    <t xml:space="preserve">Nota: para agregar otra unidad, insértela dentro de la tabla (antes de la última fila) para que las listas desplegables la incluyan.</t>
  </si>
  <si>
    <t xml:space="preserve">Detalle de costos por alternativa (valores mensuales en UF salvo indicación)</t>
  </si>
  <si>
    <t xml:space="preserve">Alternativa 1 — Plaza San Damián (Av. Las Condes 11285): Of. 302 + Of. 203 + Zócalo</t>
  </si>
  <si>
    <t xml:space="preserve">Ítem</t>
  </si>
  <si>
    <t xml:space="preserve">Unidad / descripción</t>
  </si>
  <si>
    <t xml:space="preserve">Cantidad</t>
  </si>
  <si>
    <t xml:space="preserve">Medida</t>
  </si>
  <si>
    <t xml:space="preserve">Precio (UF)</t>
  </si>
  <si>
    <t xml:space="preserve">Neto mensual (UF)</t>
  </si>
  <si>
    <t xml:space="preserve">IVA (UF)</t>
  </si>
  <si>
    <t xml:space="preserve">Arriendo oficina</t>
  </si>
  <si>
    <t xml:space="preserve">m2</t>
  </si>
  <si>
    <t xml:space="preserve">un</t>
  </si>
  <si>
    <t xml:space="preserve">Gastos comunes (oficinas)</t>
  </si>
  <si>
    <t xml:space="preserve">Estimado, sin IVA</t>
  </si>
  <si>
    <t xml:space="preserve">TOTAL MENSUAL</t>
  </si>
  <si>
    <t xml:space="preserve">m2 of.</t>
  </si>
  <si>
    <t xml:space="preserve">Total contrato (plazo)</t>
  </si>
  <si>
    <t xml:space="preserve">Comisión JLL (c/IVA, costo único)</t>
  </si>
  <si>
    <t xml:space="preserve">Habilitación / mobiliario (costo único)</t>
  </si>
  <si>
    <t xml:space="preserve">Ingresar monto en UF si aplica</t>
  </si>
  <si>
    <t xml:space="preserve">COSTO TOTAL DEL PERÍODO</t>
  </si>
  <si>
    <t xml:space="preserve">Alternativa 2 — Parque San Damián (Av. Las Condes 11700): piso completo</t>
  </si>
  <si>
    <t xml:space="preserve">Alternativa 3 — Edificio Indumotora (Av. Las Condes 11774): piso completo</t>
  </si>
  <si>
    <t xml:space="preserve">Notas:</t>
  </si>
  <si>
    <t xml:space="preserve">• Celda amarilla en 'Unidad / descripción' tiene lista desplegable: cambie la oficina y se actualizan m2, precio y estado desde la hoja Unidades.</t>
  </si>
  <si>
    <t xml:space="preserve">• Comisión JLL: 2% + IVA del contrato total (oficina + estacionamientos + bodega), con mínimo de 1 mes de arriendo + IVA. En un contrato de 12 meses aplica el mínimo.</t>
  </si>
  <si>
    <t xml:space="preserve">• Gastos comunes son estimados ('aprox.' en PDF) y se muestran sin IVA. Indumotora: GGCC, estacionamiento y bodega son supuestos (ver Supuestos).</t>
  </si>
  <si>
    <t xml:space="preserve">• Zócalo (en bruto) y Parque San Damián (obra gruesa) requieren habilitación: ingresar costo estimado en la fila 'Habilitación / mobiliario'.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</si>
</sst>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#,##0.00;\(#,##0.00\);\-"/>
    <numFmt numFmtId="167" formatCode="\$#,##0;&quot;($&quot;#,##0\);\-"/>
    <numFmt numFmtId="168" formatCode="0.000"/>
    <numFmt numFmtId="169" formatCode="0.0%"/>
    <numFmt numFmtId="170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30613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3"/>
      <color rgb="FFE30613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i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30613"/>
        <bgColor rgb="FF993300"/>
      </patternFill>
    </fill>
    <fill>
      <patternFill patternType="solid">
        <fgColor rgb="FFE6E6E6"/>
        <bgColor rgb="FFF2F2F2"/>
      </patternFill>
    </fill>
    <fill>
      <patternFill patternType="solid">
        <fgColor rgb="FFF2F2F2"/>
        <bgColor rgb="FFE6E6E6"/>
      </patternFill>
    </fill>
    <fill>
      <patternFill patternType="solid">
        <fgColor rgb="FFFFF2CC"/>
        <bgColor rgb="FFF2F2F2"/>
      </patternFill>
    </fill>
    <fill>
      <patternFill patternType="solid">
        <fgColor rgb="FF1A1A1A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30613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 Valores mensuales salvo indicación · UF = "&amp;TEXT(Supuestos!B3,"$#,##0")&amp;" · Plazo "&amp;Supuestos!B5&amp;" meses"</f>
        <v> Valores mensuales salvo indicación · UF = $40,000 · Plazo 12 meses</v>
      </c>
    </row>
    <row r="4" customFormat="false" ht="48" hidden="false" customHeight="true" outlineLevel="0" collapsed="false">
      <c r="A4" s="3" t="s">
        <v>1</v>
      </c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Detalle!D11</f>
        <v>1037.15</v>
      </c>
      <c r="C5" s="5" t="n">
        <f aca="false">Detalle!D23</f>
        <v>727.14</v>
      </c>
      <c r="D5" s="5" t="n">
        <f aca="false">Detalle!D35</f>
        <v>959</v>
      </c>
    </row>
    <row r="6" customFormat="false" ht="15" hidden="false" customHeight="false" outlineLevel="0" collapsed="false">
      <c r="A6" s="4" t="s">
        <v>6</v>
      </c>
      <c r="B6" s="6" t="str">
        <f aca="false">Detalle!B5&amp;" + "&amp;Detalle!B6&amp;" + "&amp;Detalle!B7</f>
        <v>Oficina 302 A + Oficina 203 B + Zócalo</v>
      </c>
      <c r="C6" s="6" t="str">
        <f aca="false">Detalle!B19</f>
        <v>Oficina 900 B</v>
      </c>
      <c r="D6" s="6" t="str">
        <f aca="false">Detalle!B31</f>
        <v>Oficina 500</v>
      </c>
    </row>
    <row r="8" customFormat="false" ht="15" hidden="false" customHeight="false" outlineLevel="0" collapsed="false">
      <c r="A8" s="7" t="s">
        <v>7</v>
      </c>
      <c r="B8" s="8"/>
      <c r="C8" s="8"/>
      <c r="D8" s="8"/>
    </row>
    <row r="9" customFormat="false" ht="15" hidden="false" customHeight="false" outlineLevel="0" collapsed="false">
      <c r="A9" s="4" t="s">
        <v>8</v>
      </c>
      <c r="B9" s="9" t="n">
        <f aca="false">Detalle!G5+Detalle!G6+Detalle!G7</f>
        <v>392.32</v>
      </c>
      <c r="C9" s="9" t="n">
        <f aca="false">Detalle!G19</f>
        <v>283.5846</v>
      </c>
      <c r="D9" s="9" t="n">
        <f aca="false">Detalle!G31</f>
        <v>287.7</v>
      </c>
    </row>
    <row r="10" customFormat="false" ht="15" hidden="false" customHeight="false" outlineLevel="0" collapsed="false">
      <c r="A10" s="4" t="s">
        <v>9</v>
      </c>
      <c r="B10" s="9" t="n">
        <f aca="false">Detalle!G8</f>
        <v>40</v>
      </c>
      <c r="C10" s="9" t="n">
        <f aca="false">Detalle!G20</f>
        <v>35</v>
      </c>
      <c r="D10" s="9" t="n">
        <f aca="false">Detalle!G32</f>
        <v>35</v>
      </c>
    </row>
    <row r="11" customFormat="false" ht="15" hidden="false" customHeight="false" outlineLevel="0" collapsed="false">
      <c r="A11" s="4" t="s">
        <v>10</v>
      </c>
      <c r="B11" s="9" t="n">
        <f aca="false">Detalle!G9</f>
        <v>2.5</v>
      </c>
      <c r="C11" s="9" t="n">
        <f aca="false">Detalle!G21</f>
        <v>2.5</v>
      </c>
      <c r="D11" s="9" t="n">
        <f aca="false">Detalle!G33</f>
        <v>2.5</v>
      </c>
    </row>
    <row r="12" customFormat="false" ht="15" hidden="false" customHeight="false" outlineLevel="0" collapsed="false">
      <c r="A12" s="4" t="s">
        <v>11</v>
      </c>
      <c r="B12" s="9" t="n">
        <f aca="false">Detalle!G10</f>
        <v>124.458</v>
      </c>
      <c r="C12" s="9" t="n">
        <f aca="false">Detalle!G22</f>
        <v>79.9854</v>
      </c>
      <c r="D12" s="9" t="n">
        <f aca="false">Detalle!G34</f>
        <v>115.08</v>
      </c>
    </row>
    <row r="13" customFormat="false" ht="15" hidden="false" customHeight="false" outlineLevel="0" collapsed="false">
      <c r="A13" s="4" t="s">
        <v>12</v>
      </c>
      <c r="B13" s="9" t="n">
        <f aca="false">Detalle!H11</f>
        <v>82.6158</v>
      </c>
      <c r="C13" s="9" t="n">
        <f aca="false">Detalle!H23</f>
        <v>61.006074</v>
      </c>
      <c r="D13" s="9" t="n">
        <f aca="false">Detalle!H35</f>
        <v>61.788</v>
      </c>
    </row>
    <row r="14" customFormat="false" ht="15" hidden="false" customHeight="false" outlineLevel="0" collapsed="false">
      <c r="A14" s="10" t="s">
        <v>13</v>
      </c>
      <c r="B14" s="11" t="n">
        <f aca="false">Detalle!I11</f>
        <v>641.8938</v>
      </c>
      <c r="C14" s="11" t="n">
        <f aca="false">Detalle!I23</f>
        <v>462.076074</v>
      </c>
      <c r="D14" s="11" t="n">
        <f aca="false">Detalle!I35</f>
        <v>502.068</v>
      </c>
    </row>
    <row r="15" customFormat="false" ht="15" hidden="false" customHeight="false" outlineLevel="0" collapsed="false">
      <c r="A15" s="10" t="s">
        <v>14</v>
      </c>
      <c r="B15" s="12" t="n">
        <f aca="false">Detalle!J11</f>
        <v>25675752</v>
      </c>
      <c r="C15" s="12" t="n">
        <f aca="false">Detalle!J23</f>
        <v>18483042.96</v>
      </c>
      <c r="D15" s="12" t="n">
        <f aca="false">Detalle!J35</f>
        <v>20082720</v>
      </c>
    </row>
    <row r="16" customFormat="false" ht="15" hidden="false" customHeight="false" outlineLevel="0" collapsed="false">
      <c r="A16" s="4" t="s">
        <v>15</v>
      </c>
      <c r="B16" s="13" t="n">
        <f aca="false">IFERROR(Detalle!I11/Detalle!D11,0)</f>
        <v>0.618901605360845</v>
      </c>
      <c r="C16" s="13" t="n">
        <f aca="false">IFERROR(Detalle!I23/Detalle!D23,0)</f>
        <v>0.635470575129961</v>
      </c>
      <c r="D16" s="13" t="n">
        <f aca="false">IFERROR(Detalle!I35/Detalle!D35,0)</f>
        <v>0.523532846715328</v>
      </c>
    </row>
    <row r="18" customFormat="false" ht="15" hidden="false" customHeight="false" outlineLevel="0" collapsed="false">
      <c r="A18" s="7" t="s">
        <v>16</v>
      </c>
      <c r="B18" s="8"/>
      <c r="C18" s="8"/>
      <c r="D18" s="8"/>
    </row>
    <row r="19" customFormat="false" ht="15" hidden="false" customHeight="false" outlineLevel="0" collapsed="false">
      <c r="A19" s="4" t="s">
        <v>17</v>
      </c>
      <c r="B19" s="9" t="n">
        <f aca="false">Detalle!I12</f>
        <v>7702.7256</v>
      </c>
      <c r="C19" s="9" t="n">
        <f aca="false">Detalle!I24</f>
        <v>5544.912888</v>
      </c>
      <c r="D19" s="9" t="n">
        <f aca="false">Detalle!I36</f>
        <v>6024.816</v>
      </c>
    </row>
    <row r="20" customFormat="false" ht="15" hidden="false" customHeight="false" outlineLevel="0" collapsed="false">
      <c r="A20" s="4" t="s">
        <v>18</v>
      </c>
      <c r="B20" s="9" t="n">
        <f aca="false">Detalle!I13</f>
        <v>517.4358</v>
      </c>
      <c r="C20" s="9" t="n">
        <f aca="false">Detalle!I25</f>
        <v>382.090674</v>
      </c>
      <c r="D20" s="9" t="n">
        <f aca="false">Detalle!I37</f>
        <v>386.988</v>
      </c>
    </row>
    <row r="21" customFormat="false" ht="15" hidden="false" customHeight="false" outlineLevel="0" collapsed="false">
      <c r="A21" s="4" t="s">
        <v>19</v>
      </c>
      <c r="B21" s="9" t="n">
        <f aca="false">Detalle!I14</f>
        <v>0</v>
      </c>
      <c r="C21" s="9" t="n">
        <f aca="false">Detalle!I26</f>
        <v>0</v>
      </c>
      <c r="D21" s="9" t="n">
        <f aca="false">Detalle!I38</f>
        <v>0</v>
      </c>
    </row>
    <row r="22" customFormat="false" ht="15" hidden="false" customHeight="false" outlineLevel="0" collapsed="false">
      <c r="A22" s="10" t="s">
        <v>20</v>
      </c>
      <c r="B22" s="11" t="n">
        <f aca="false">Detalle!I15</f>
        <v>8220.1614</v>
      </c>
      <c r="C22" s="11" t="n">
        <f aca="false">Detalle!I27</f>
        <v>5927.003562</v>
      </c>
      <c r="D22" s="11" t="n">
        <f aca="false">Detalle!I39</f>
        <v>6411.804</v>
      </c>
    </row>
    <row r="23" customFormat="false" ht="15" hidden="false" customHeight="false" outlineLevel="0" collapsed="false">
      <c r="A23" s="10" t="s">
        <v>21</v>
      </c>
      <c r="B23" s="12" t="n">
        <f aca="false">Detalle!J15</f>
        <v>328806456</v>
      </c>
      <c r="C23" s="12" t="n">
        <f aca="false">Detalle!J27</f>
        <v>237080142.48</v>
      </c>
      <c r="D23" s="12" t="n">
        <f aca="false">Detalle!J39</f>
        <v>256472160</v>
      </c>
    </row>
    <row r="25" customFormat="false" ht="45" hidden="false" customHeight="true" outlineLevel="0" collapsed="false">
      <c r="A25" s="14" t="s">
        <v>22</v>
      </c>
      <c r="B25" s="15" t="s">
        <v>23</v>
      </c>
      <c r="C25" s="15" t="s">
        <v>24</v>
      </c>
      <c r="D25" s="15" t="s">
        <v>25</v>
      </c>
    </row>
    <row r="27" customFormat="false" ht="15" hidden="false" customHeight="false" outlineLevel="0" collapsed="false">
      <c r="A27" s="2" t="s">
        <v>26</v>
      </c>
    </row>
    <row r="28" customFormat="false" ht="15" hidden="false" customHeight="false" outlineLevel="0" collapsed="false">
      <c r="A28" s="2" t="s">
        <v>27</v>
      </c>
    </row>
    <row r="29" customFormat="false" ht="15" hidden="false" customHeight="false" outlineLevel="0" collapsed="false">
      <c r="A29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70"/>
  </cols>
  <sheetData>
    <row r="1" customFormat="false" ht="16.15" hidden="false" customHeight="false" outlineLevel="0" collapsed="false">
      <c r="A1" s="16" t="s">
        <v>29</v>
      </c>
    </row>
    <row r="3" customFormat="false" ht="15" hidden="false" customHeight="false" outlineLevel="0" collapsed="false">
      <c r="A3" s="17" t="s">
        <v>30</v>
      </c>
      <c r="B3" s="18" t="n">
        <v>40000</v>
      </c>
      <c r="C3" s="19" t="s">
        <v>31</v>
      </c>
    </row>
    <row r="4" customFormat="false" ht="15" hidden="false" customHeight="false" outlineLevel="0" collapsed="false">
      <c r="A4" s="17" t="s">
        <v>12</v>
      </c>
      <c r="B4" s="20" t="n">
        <v>0.19</v>
      </c>
      <c r="C4" s="19" t="s">
        <v>32</v>
      </c>
    </row>
    <row r="5" customFormat="false" ht="15" hidden="false" customHeight="false" outlineLevel="0" collapsed="false">
      <c r="A5" s="17" t="s">
        <v>33</v>
      </c>
      <c r="B5" s="21" t="n">
        <v>12</v>
      </c>
      <c r="C5" s="19" t="s">
        <v>34</v>
      </c>
    </row>
    <row r="6" customFormat="false" ht="15" hidden="false" customHeight="false" outlineLevel="0" collapsed="false">
      <c r="A6" s="17" t="s">
        <v>35</v>
      </c>
      <c r="B6" s="20" t="n">
        <v>0.02</v>
      </c>
      <c r="C6" s="19" t="s">
        <v>36</v>
      </c>
    </row>
    <row r="7" customFormat="false" ht="15" hidden="false" customHeight="false" outlineLevel="0" collapsed="false">
      <c r="A7" s="17" t="s">
        <v>37</v>
      </c>
      <c r="B7" s="21" t="n">
        <v>10</v>
      </c>
      <c r="C7" s="19" t="s">
        <v>38</v>
      </c>
    </row>
    <row r="8" customFormat="false" ht="15" hidden="false" customHeight="false" outlineLevel="0" collapsed="false">
      <c r="A8" s="17" t="s">
        <v>39</v>
      </c>
      <c r="B8" s="21" t="n">
        <v>10</v>
      </c>
      <c r="C8" s="19" t="s">
        <v>38</v>
      </c>
    </row>
    <row r="11" customFormat="false" ht="15" hidden="false" customHeight="false" outlineLevel="0" collapsed="false">
      <c r="A11" s="14" t="s">
        <v>40</v>
      </c>
    </row>
    <row r="12" customFormat="false" ht="30" hidden="false" customHeight="true" outlineLevel="0" collapsed="false">
      <c r="A12" s="22" t="s">
        <v>41</v>
      </c>
      <c r="B12" s="22" t="s">
        <v>42</v>
      </c>
      <c r="C12" s="22" t="s">
        <v>43</v>
      </c>
      <c r="D12" s="22" t="s">
        <v>44</v>
      </c>
      <c r="E12" s="22" t="s">
        <v>45</v>
      </c>
    </row>
    <row r="13" customFormat="false" ht="15" hidden="false" customHeight="false" outlineLevel="0" collapsed="false">
      <c r="A13" s="4" t="s">
        <v>46</v>
      </c>
      <c r="B13" s="23" t="n">
        <v>4</v>
      </c>
      <c r="C13" s="23" t="n">
        <v>0.25</v>
      </c>
      <c r="D13" s="23" t="n">
        <v>0.12</v>
      </c>
      <c r="E13" s="4" t="s">
        <v>47</v>
      </c>
    </row>
    <row r="14" customFormat="false" ht="15" hidden="false" customHeight="false" outlineLevel="0" collapsed="false">
      <c r="A14" s="4" t="s">
        <v>48</v>
      </c>
      <c r="B14" s="23" t="n">
        <v>3.5</v>
      </c>
      <c r="C14" s="23" t="n">
        <v>0.25</v>
      </c>
      <c r="D14" s="23" t="n">
        <v>0.11</v>
      </c>
      <c r="E14" s="4" t="s">
        <v>49</v>
      </c>
    </row>
    <row r="15" customFormat="false" ht="15" hidden="false" customHeight="false" outlineLevel="0" collapsed="false">
      <c r="A15" s="4" t="s">
        <v>50</v>
      </c>
      <c r="B15" s="24" t="n">
        <v>3.5</v>
      </c>
      <c r="C15" s="24" t="n">
        <v>0.25</v>
      </c>
      <c r="D15" s="24" t="n">
        <v>0.12</v>
      </c>
      <c r="E15" s="4" t="s">
        <v>51</v>
      </c>
    </row>
    <row r="17" customFormat="false" ht="15" hidden="false" customHeight="false" outlineLevel="0" collapsed="false">
      <c r="A17" s="14" t="s">
        <v>52</v>
      </c>
    </row>
    <row r="18" customFormat="false" ht="15" hidden="false" customHeight="false" outlineLevel="0" collapsed="false">
      <c r="A18" s="25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16" t="s">
        <v>54</v>
      </c>
    </row>
    <row r="3" customFormat="false" ht="15" hidden="false" customHeight="false" outlineLevel="0" collapsed="false">
      <c r="A3" s="26" t="s">
        <v>41</v>
      </c>
      <c r="B3" s="26" t="s">
        <v>55</v>
      </c>
      <c r="C3" s="26" t="s">
        <v>56</v>
      </c>
      <c r="D3" s="26" t="s">
        <v>57</v>
      </c>
      <c r="E3" s="26" t="s">
        <v>58</v>
      </c>
      <c r="F3" s="26" t="s">
        <v>59</v>
      </c>
    </row>
    <row r="4" customFormat="false" ht="15" hidden="false" customHeight="false" outlineLevel="0" collapsed="false">
      <c r="A4" s="4" t="s">
        <v>46</v>
      </c>
      <c r="B4" s="4" t="s">
        <v>60</v>
      </c>
      <c r="C4" s="23" t="n">
        <v>378.52</v>
      </c>
      <c r="D4" s="23" t="n">
        <v>0.4</v>
      </c>
      <c r="E4" s="4" t="s">
        <v>61</v>
      </c>
      <c r="F4" s="4" t="s">
        <v>62</v>
      </c>
    </row>
    <row r="5" customFormat="false" ht="15" hidden="false" customHeight="false" outlineLevel="0" collapsed="false">
      <c r="A5" s="4" t="s">
        <v>46</v>
      </c>
      <c r="B5" s="4" t="s">
        <v>63</v>
      </c>
      <c r="C5" s="23" t="n">
        <v>207.83</v>
      </c>
      <c r="D5" s="23" t="n">
        <v>0.4</v>
      </c>
      <c r="E5" s="4" t="s">
        <v>61</v>
      </c>
      <c r="F5" s="4" t="s">
        <v>64</v>
      </c>
    </row>
    <row r="6" customFormat="false" ht="15" hidden="false" customHeight="false" outlineLevel="0" collapsed="false">
      <c r="A6" s="4" t="s">
        <v>46</v>
      </c>
      <c r="B6" s="4" t="s">
        <v>65</v>
      </c>
      <c r="C6" s="23" t="n">
        <v>450.8</v>
      </c>
      <c r="D6" s="23" t="n">
        <v>0.35</v>
      </c>
      <c r="E6" s="4" t="s">
        <v>66</v>
      </c>
      <c r="F6" s="4" t="s">
        <v>67</v>
      </c>
    </row>
    <row r="7" customFormat="false" ht="15" hidden="false" customHeight="false" outlineLevel="0" collapsed="false">
      <c r="A7" s="4" t="s">
        <v>48</v>
      </c>
      <c r="B7" s="4" t="s">
        <v>68</v>
      </c>
      <c r="C7" s="23" t="n">
        <v>727.14</v>
      </c>
      <c r="D7" s="23" t="n">
        <v>0.39</v>
      </c>
      <c r="E7" s="4" t="s">
        <v>69</v>
      </c>
      <c r="F7" s="4" t="s">
        <v>70</v>
      </c>
    </row>
    <row r="8" customFormat="false" ht="15" hidden="false" customHeight="false" outlineLevel="0" collapsed="false">
      <c r="A8" s="4" t="s">
        <v>48</v>
      </c>
      <c r="B8" s="4" t="s">
        <v>71</v>
      </c>
      <c r="C8" s="23" t="n">
        <v>727.14</v>
      </c>
      <c r="D8" s="23" t="n">
        <v>0.4</v>
      </c>
      <c r="E8" s="4" t="s">
        <v>69</v>
      </c>
      <c r="F8" s="4" t="s">
        <v>72</v>
      </c>
    </row>
    <row r="9" customFormat="false" ht="15" hidden="false" customHeight="false" outlineLevel="0" collapsed="false">
      <c r="A9" s="4" t="s">
        <v>48</v>
      </c>
      <c r="B9" s="4" t="s">
        <v>73</v>
      </c>
      <c r="C9" s="23" t="n">
        <v>727.14</v>
      </c>
      <c r="D9" s="23" t="n">
        <v>0.41</v>
      </c>
      <c r="E9" s="4" t="s">
        <v>69</v>
      </c>
      <c r="F9" s="4" t="s">
        <v>74</v>
      </c>
    </row>
    <row r="10" customFormat="false" ht="15" hidden="false" customHeight="false" outlineLevel="0" collapsed="false">
      <c r="A10" s="4" t="s">
        <v>48</v>
      </c>
      <c r="B10" s="4" t="s">
        <v>75</v>
      </c>
      <c r="C10" s="23" t="n">
        <v>727.14</v>
      </c>
      <c r="D10" s="23" t="n">
        <v>0.42</v>
      </c>
      <c r="E10" s="4" t="s">
        <v>69</v>
      </c>
      <c r="F10" s="4" t="s">
        <v>76</v>
      </c>
    </row>
    <row r="11" customFormat="false" ht="15" hidden="false" customHeight="false" outlineLevel="0" collapsed="false">
      <c r="A11" s="4" t="s">
        <v>48</v>
      </c>
      <c r="B11" s="4" t="s">
        <v>77</v>
      </c>
      <c r="C11" s="23" t="n">
        <v>727.14</v>
      </c>
      <c r="D11" s="23" t="n">
        <v>0.43</v>
      </c>
      <c r="E11" s="4" t="s">
        <v>69</v>
      </c>
      <c r="F11" s="4" t="s">
        <v>78</v>
      </c>
    </row>
    <row r="12" customFormat="false" ht="15" hidden="false" customHeight="false" outlineLevel="0" collapsed="false">
      <c r="A12" s="4" t="s">
        <v>50</v>
      </c>
      <c r="B12" s="4" t="s">
        <v>79</v>
      </c>
      <c r="C12" s="23" t="n">
        <v>959</v>
      </c>
      <c r="D12" s="23" t="n">
        <v>0.3</v>
      </c>
      <c r="E12" s="4" t="s">
        <v>25</v>
      </c>
      <c r="F12" s="4" t="s">
        <v>80</v>
      </c>
    </row>
    <row r="13" customFormat="false" ht="15" hidden="false" customHeight="false" outlineLevel="0" collapsed="false">
      <c r="A13" s="4" t="s">
        <v>50</v>
      </c>
      <c r="B13" s="4" t="s">
        <v>81</v>
      </c>
      <c r="C13" s="23" t="n">
        <v>959</v>
      </c>
      <c r="D13" s="23" t="n">
        <v>0.3</v>
      </c>
      <c r="E13" s="4" t="s">
        <v>25</v>
      </c>
      <c r="F13" s="4" t="s">
        <v>82</v>
      </c>
    </row>
    <row r="14" customFormat="false" ht="15" hidden="false" customHeight="false" outlineLevel="0" collapsed="false">
      <c r="A14" s="4" t="s">
        <v>50</v>
      </c>
      <c r="B14" s="4" t="s">
        <v>83</v>
      </c>
      <c r="C14" s="23" t="n">
        <v>510</v>
      </c>
      <c r="D14" s="23" t="n">
        <v>0.85</v>
      </c>
      <c r="E14" s="4" t="s">
        <v>25</v>
      </c>
      <c r="F14" s="4" t="s">
        <v>84</v>
      </c>
    </row>
    <row r="16" customFormat="false" ht="15" hidden="false" customHeight="false" outlineLevel="0" collapsed="false">
      <c r="A16" s="19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8"/>
  </cols>
  <sheetData>
    <row r="1" customFormat="false" ht="16.15" hidden="false" customHeight="false" outlineLevel="0" collapsed="false">
      <c r="A1" s="16" t="s">
        <v>86</v>
      </c>
    </row>
    <row r="3" customFormat="false" ht="15" hidden="false" customHeight="false" outlineLevel="0" collapsed="false">
      <c r="A3" s="27" t="s">
        <v>87</v>
      </c>
      <c r="B3" s="28"/>
      <c r="C3" s="28"/>
      <c r="D3" s="28"/>
      <c r="E3" s="28"/>
      <c r="F3" s="28"/>
      <c r="G3" s="28"/>
      <c r="H3" s="28"/>
      <c r="I3" s="28"/>
      <c r="J3" s="28"/>
    </row>
    <row r="4" customFormat="false" ht="30" hidden="false" customHeight="true" outlineLevel="0" collapsed="false">
      <c r="A4" s="29" t="s">
        <v>88</v>
      </c>
      <c r="B4" s="29" t="s">
        <v>89</v>
      </c>
      <c r="C4" s="29" t="s">
        <v>58</v>
      </c>
      <c r="D4" s="29" t="s">
        <v>90</v>
      </c>
      <c r="E4" s="29" t="s">
        <v>91</v>
      </c>
      <c r="F4" s="29" t="s">
        <v>92</v>
      </c>
      <c r="G4" s="29" t="s">
        <v>93</v>
      </c>
      <c r="H4" s="29" t="s">
        <v>94</v>
      </c>
      <c r="I4" s="29" t="s">
        <v>13</v>
      </c>
      <c r="J4" s="29" t="s">
        <v>14</v>
      </c>
    </row>
    <row r="5" customFormat="false" ht="15" hidden="false" customHeight="false" outlineLevel="0" collapsed="false">
      <c r="A5" s="4" t="s">
        <v>95</v>
      </c>
      <c r="B5" s="30" t="s">
        <v>60</v>
      </c>
      <c r="C5" s="4" t="str">
        <f aca="false">INDEX(Unidades!$E$4:$E$14,MATCH(B5,Unidades!$B$4:$B$14,0))</f>
        <v>Habilitada (opción mobiliario)</v>
      </c>
      <c r="D5" s="31" t="n">
        <f aca="false">INDEX(Unidades!$C$4:$C$14,MATCH(B5,Unidades!$B$4:$B$14,0))</f>
        <v>378.52</v>
      </c>
      <c r="E5" s="4" t="s">
        <v>96</v>
      </c>
      <c r="F5" s="32" t="n">
        <f aca="false">INDEX(Unidades!$D$4:$D$14,MATCH(B5,Unidades!$B$4:$B$14,0))</f>
        <v>0.4</v>
      </c>
      <c r="G5" s="32" t="n">
        <f aca="false">D5*F5</f>
        <v>151.408</v>
      </c>
      <c r="H5" s="32" t="n">
        <f aca="false">G5*Supuestos!$B$4</f>
        <v>28.76752</v>
      </c>
      <c r="I5" s="32" t="n">
        <f aca="false">G5+H5</f>
        <v>180.17552</v>
      </c>
      <c r="J5" s="33" t="n">
        <f aca="false">I5*Supuestos!$B$3</f>
        <v>7207020.8</v>
      </c>
    </row>
    <row r="6" customFormat="false" ht="15" hidden="false" customHeight="false" outlineLevel="0" collapsed="false">
      <c r="A6" s="4" t="s">
        <v>95</v>
      </c>
      <c r="B6" s="30" t="s">
        <v>63</v>
      </c>
      <c r="C6" s="4" t="str">
        <f aca="false">INDEX(Unidades!$E$4:$E$14,MATCH(B6,Unidades!$B$4:$B$14,0))</f>
        <v>Habilitada (opción mobiliario)</v>
      </c>
      <c r="D6" s="31" t="n">
        <f aca="false">INDEX(Unidades!$C$4:$C$14,MATCH(B6,Unidades!$B$4:$B$14,0))</f>
        <v>207.83</v>
      </c>
      <c r="E6" s="4" t="s">
        <v>96</v>
      </c>
      <c r="F6" s="32" t="n">
        <f aca="false">INDEX(Unidades!$D$4:$D$14,MATCH(B6,Unidades!$B$4:$B$14,0))</f>
        <v>0.4</v>
      </c>
      <c r="G6" s="32" t="n">
        <f aca="false">D6*F6</f>
        <v>83.132</v>
      </c>
      <c r="H6" s="32" t="n">
        <f aca="false">G6*Supuestos!$B$4</f>
        <v>15.79508</v>
      </c>
      <c r="I6" s="32" t="n">
        <f aca="false">G6+H6</f>
        <v>98.92708</v>
      </c>
      <c r="J6" s="33" t="n">
        <f aca="false">I6*Supuestos!$B$3</f>
        <v>3957083.2</v>
      </c>
    </row>
    <row r="7" customFormat="false" ht="15" hidden="false" customHeight="false" outlineLevel="0" collapsed="false">
      <c r="A7" s="4" t="s">
        <v>95</v>
      </c>
      <c r="B7" s="30" t="s">
        <v>65</v>
      </c>
      <c r="C7" s="4" t="str">
        <f aca="false">INDEX(Unidades!$E$4:$E$14,MATCH(B7,Unidades!$B$4:$B$14,0))</f>
        <v>En bruto</v>
      </c>
      <c r="D7" s="31" t="n">
        <f aca="false">INDEX(Unidades!$C$4:$C$14,MATCH(B7,Unidades!$B$4:$B$14,0))</f>
        <v>450.8</v>
      </c>
      <c r="E7" s="4" t="s">
        <v>96</v>
      </c>
      <c r="F7" s="32" t="n">
        <f aca="false">INDEX(Unidades!$D$4:$D$14,MATCH(B7,Unidades!$B$4:$B$14,0))</f>
        <v>0.35</v>
      </c>
      <c r="G7" s="32" t="n">
        <f aca="false">D7*F7</f>
        <v>157.78</v>
      </c>
      <c r="H7" s="32" t="n">
        <f aca="false">G7*Supuestos!$B$4</f>
        <v>29.9782</v>
      </c>
      <c r="I7" s="32" t="n">
        <f aca="false">G7+H7</f>
        <v>187.7582</v>
      </c>
      <c r="J7" s="33" t="n">
        <f aca="false">I7*Supuestos!$B$3</f>
        <v>7510328</v>
      </c>
    </row>
    <row r="8" customFormat="false" ht="15" hidden="false" customHeight="false" outlineLevel="0" collapsed="false">
      <c r="A8" s="4" t="s">
        <v>9</v>
      </c>
      <c r="B8" s="4"/>
      <c r="C8" s="4"/>
      <c r="D8" s="34" t="n">
        <f aca="false">Supuestos!$B$7</f>
        <v>10</v>
      </c>
      <c r="E8" s="4" t="s">
        <v>97</v>
      </c>
      <c r="F8" s="35" t="n">
        <f aca="false">Supuestos!$B$13</f>
        <v>4</v>
      </c>
      <c r="G8" s="32" t="n">
        <f aca="false">D8*F8</f>
        <v>40</v>
      </c>
      <c r="H8" s="32" t="n">
        <f aca="false">G8*Supuestos!$B$4</f>
        <v>7.6</v>
      </c>
      <c r="I8" s="32" t="n">
        <f aca="false">G8+H8</f>
        <v>47.6</v>
      </c>
      <c r="J8" s="33" t="n">
        <f aca="false">I8*Supuestos!$B$3</f>
        <v>1904000</v>
      </c>
    </row>
    <row r="9" customFormat="false" ht="15" hidden="false" customHeight="false" outlineLevel="0" collapsed="false">
      <c r="A9" s="4" t="s">
        <v>10</v>
      </c>
      <c r="B9" s="4"/>
      <c r="C9" s="4"/>
      <c r="D9" s="34" t="n">
        <f aca="false">Supuestos!$B$8</f>
        <v>10</v>
      </c>
      <c r="E9" s="4" t="s">
        <v>96</v>
      </c>
      <c r="F9" s="35" t="n">
        <f aca="false">Supuestos!$C$13</f>
        <v>0.25</v>
      </c>
      <c r="G9" s="32" t="n">
        <f aca="false">D9*F9</f>
        <v>2.5</v>
      </c>
      <c r="H9" s="32" t="n">
        <f aca="false">G9*Supuestos!$B$4</f>
        <v>0.475</v>
      </c>
      <c r="I9" s="32" t="n">
        <f aca="false">G9+H9</f>
        <v>2.975</v>
      </c>
      <c r="J9" s="33" t="n">
        <f aca="false">I9*Supuestos!$B$3</f>
        <v>119000</v>
      </c>
    </row>
    <row r="10" customFormat="false" ht="15" hidden="false" customHeight="false" outlineLevel="0" collapsed="false">
      <c r="A10" s="4" t="s">
        <v>98</v>
      </c>
      <c r="B10" s="4" t="s">
        <v>99</v>
      </c>
      <c r="C10" s="4"/>
      <c r="D10" s="34" t="n">
        <f aca="false">D5+D6+D7</f>
        <v>1037.15</v>
      </c>
      <c r="E10" s="4" t="s">
        <v>96</v>
      </c>
      <c r="F10" s="35" t="n">
        <f aca="false">Supuestos!$D$13</f>
        <v>0.12</v>
      </c>
      <c r="G10" s="32" t="n">
        <f aca="false">D10*F10</f>
        <v>124.458</v>
      </c>
      <c r="H10" s="32" t="n">
        <v>0</v>
      </c>
      <c r="I10" s="32" t="n">
        <f aca="false">G10+H10</f>
        <v>124.458</v>
      </c>
      <c r="J10" s="33" t="n">
        <f aca="false">I10*Supuestos!$B$3</f>
        <v>4978320</v>
      </c>
    </row>
    <row r="11" customFormat="false" ht="15" hidden="false" customHeight="false" outlineLevel="0" collapsed="false">
      <c r="A11" s="36" t="s">
        <v>100</v>
      </c>
      <c r="B11" s="36"/>
      <c r="C11" s="36"/>
      <c r="D11" s="37" t="n">
        <f aca="false">D5+D6+D7</f>
        <v>1037.15</v>
      </c>
      <c r="E11" s="36" t="s">
        <v>101</v>
      </c>
      <c r="F11" s="36"/>
      <c r="G11" s="36" t="n">
        <f aca="false">SUM(G5:G10)</f>
        <v>559.278</v>
      </c>
      <c r="H11" s="36" t="n">
        <f aca="false">SUM(H5:H10)</f>
        <v>82.6158</v>
      </c>
      <c r="I11" s="36" t="n">
        <f aca="false">SUM(I5:I10)</f>
        <v>641.8938</v>
      </c>
      <c r="J11" s="38" t="n">
        <f aca="false">SUM(J5:J10)</f>
        <v>25675752</v>
      </c>
    </row>
    <row r="12" customFormat="false" ht="15" hidden="false" customHeight="false" outlineLevel="0" collapsed="false">
      <c r="A12" s="17" t="s">
        <v>102</v>
      </c>
      <c r="I12" s="39" t="n">
        <f aca="false">I11*Supuestos!$B$5</f>
        <v>7702.7256</v>
      </c>
      <c r="J12" s="40" t="n">
        <f aca="false">I12*Supuestos!$B$3</f>
        <v>308109024</v>
      </c>
    </row>
    <row r="13" customFormat="false" ht="15" hidden="false" customHeight="false" outlineLevel="0" collapsed="false">
      <c r="A13" s="17" t="s">
        <v>103</v>
      </c>
      <c r="I13" s="39" t="n">
        <f aca="false">MAX(Supuestos!$B$6*SUM(G5:G9)*Supuestos!$B$5,SUM(G5:G9))*(1+Supuestos!$B$4)</f>
        <v>517.4358</v>
      </c>
      <c r="J13" s="40" t="n">
        <f aca="false">I13*Supuestos!$B$3</f>
        <v>20697432</v>
      </c>
    </row>
    <row r="14" customFormat="false" ht="15" hidden="false" customHeight="false" outlineLevel="0" collapsed="false">
      <c r="A14" s="17" t="s">
        <v>104</v>
      </c>
      <c r="B14" s="19" t="s">
        <v>105</v>
      </c>
      <c r="I14" s="41" t="n">
        <v>0</v>
      </c>
      <c r="J14" s="40" t="n">
        <f aca="false">I14*Supuestos!$B$3</f>
        <v>0</v>
      </c>
    </row>
    <row r="15" customFormat="false" ht="15" hidden="false" customHeight="false" outlineLevel="0" collapsed="false">
      <c r="A15" s="42" t="s">
        <v>106</v>
      </c>
      <c r="B15" s="43"/>
      <c r="C15" s="43"/>
      <c r="D15" s="43"/>
      <c r="E15" s="43"/>
      <c r="F15" s="43"/>
      <c r="G15" s="43"/>
      <c r="H15" s="43"/>
      <c r="I15" s="36" t="n">
        <f aca="false">SUM(I12:I14)</f>
        <v>8220.1614</v>
      </c>
      <c r="J15" s="38" t="n">
        <f aca="false">I15*Supuestos!$B$3</f>
        <v>328806456</v>
      </c>
    </row>
    <row r="17" customFormat="false" ht="15" hidden="false" customHeight="false" outlineLevel="0" collapsed="false">
      <c r="A17" s="27" t="s">
        <v>107</v>
      </c>
      <c r="B17" s="28"/>
      <c r="C17" s="28"/>
      <c r="D17" s="28"/>
      <c r="E17" s="28"/>
      <c r="F17" s="28"/>
      <c r="G17" s="28"/>
      <c r="H17" s="28"/>
      <c r="I17" s="28"/>
      <c r="J17" s="28"/>
    </row>
    <row r="18" customFormat="false" ht="30" hidden="false" customHeight="true" outlineLevel="0" collapsed="false">
      <c r="A18" s="29" t="s">
        <v>88</v>
      </c>
      <c r="B18" s="29" t="s">
        <v>89</v>
      </c>
      <c r="C18" s="29" t="s">
        <v>58</v>
      </c>
      <c r="D18" s="29" t="s">
        <v>90</v>
      </c>
      <c r="E18" s="29" t="s">
        <v>91</v>
      </c>
      <c r="F18" s="29" t="s">
        <v>92</v>
      </c>
      <c r="G18" s="29" t="s">
        <v>93</v>
      </c>
      <c r="H18" s="29" t="s">
        <v>94</v>
      </c>
      <c r="I18" s="29" t="s">
        <v>13</v>
      </c>
      <c r="J18" s="29" t="s">
        <v>14</v>
      </c>
    </row>
    <row r="19" customFormat="false" ht="15" hidden="false" customHeight="false" outlineLevel="0" collapsed="false">
      <c r="A19" s="4" t="s">
        <v>95</v>
      </c>
      <c r="B19" s="30" t="s">
        <v>68</v>
      </c>
      <c r="C19" s="4" t="str">
        <f aca="false">INDEX(Unidades!$E$4:$E$14,MATCH(B19,Unidades!$B$4:$B$14,0))</f>
        <v>Obra gruesa</v>
      </c>
      <c r="D19" s="31" t="n">
        <f aca="false">INDEX(Unidades!$C$4:$C$14,MATCH(B19,Unidades!$B$4:$B$14,0))</f>
        <v>727.14</v>
      </c>
      <c r="E19" s="4" t="s">
        <v>96</v>
      </c>
      <c r="F19" s="32" t="n">
        <f aca="false">INDEX(Unidades!$D$4:$D$14,MATCH(B19,Unidades!$B$4:$B$14,0))</f>
        <v>0.39</v>
      </c>
      <c r="G19" s="32" t="n">
        <f aca="false">D19*F19</f>
        <v>283.5846</v>
      </c>
      <c r="H19" s="32" t="n">
        <f aca="false">G19*Supuestos!$B$4</f>
        <v>53.881074</v>
      </c>
      <c r="I19" s="32" t="n">
        <f aca="false">G19+H19</f>
        <v>337.465674</v>
      </c>
      <c r="J19" s="33" t="n">
        <f aca="false">I19*Supuestos!$B$3</f>
        <v>13498626.96</v>
      </c>
    </row>
    <row r="20" customFormat="false" ht="15" hidden="false" customHeight="false" outlineLevel="0" collapsed="false">
      <c r="A20" s="4" t="s">
        <v>9</v>
      </c>
      <c r="B20" s="4"/>
      <c r="C20" s="4"/>
      <c r="D20" s="34" t="n">
        <f aca="false">Supuestos!$B$7</f>
        <v>10</v>
      </c>
      <c r="E20" s="4" t="s">
        <v>97</v>
      </c>
      <c r="F20" s="35" t="n">
        <f aca="false">Supuestos!$B$14</f>
        <v>3.5</v>
      </c>
      <c r="G20" s="32" t="n">
        <f aca="false">D20*F20</f>
        <v>35</v>
      </c>
      <c r="H20" s="32" t="n">
        <f aca="false">G20*Supuestos!$B$4</f>
        <v>6.65</v>
      </c>
      <c r="I20" s="32" t="n">
        <f aca="false">G20+H20</f>
        <v>41.65</v>
      </c>
      <c r="J20" s="33" t="n">
        <f aca="false">I20*Supuestos!$B$3</f>
        <v>1666000</v>
      </c>
    </row>
    <row r="21" customFormat="false" ht="15" hidden="false" customHeight="false" outlineLevel="0" collapsed="false">
      <c r="A21" s="4" t="s">
        <v>10</v>
      </c>
      <c r="B21" s="4"/>
      <c r="C21" s="4"/>
      <c r="D21" s="34" t="n">
        <f aca="false">Supuestos!$B$8</f>
        <v>10</v>
      </c>
      <c r="E21" s="4" t="s">
        <v>96</v>
      </c>
      <c r="F21" s="35" t="n">
        <f aca="false">Supuestos!$C$14</f>
        <v>0.25</v>
      </c>
      <c r="G21" s="32" t="n">
        <f aca="false">D21*F21</f>
        <v>2.5</v>
      </c>
      <c r="H21" s="32" t="n">
        <f aca="false">G21*Supuestos!$B$4</f>
        <v>0.475</v>
      </c>
      <c r="I21" s="32" t="n">
        <f aca="false">G21+H21</f>
        <v>2.975</v>
      </c>
      <c r="J21" s="33" t="n">
        <f aca="false">I21*Supuestos!$B$3</f>
        <v>119000</v>
      </c>
    </row>
    <row r="22" customFormat="false" ht="15" hidden="false" customHeight="false" outlineLevel="0" collapsed="false">
      <c r="A22" s="4" t="s">
        <v>98</v>
      </c>
      <c r="B22" s="4" t="s">
        <v>99</v>
      </c>
      <c r="C22" s="4"/>
      <c r="D22" s="34" t="n">
        <f aca="false">D19</f>
        <v>727.14</v>
      </c>
      <c r="E22" s="4" t="s">
        <v>96</v>
      </c>
      <c r="F22" s="35" t="n">
        <f aca="false">Supuestos!$D$14</f>
        <v>0.11</v>
      </c>
      <c r="G22" s="32" t="n">
        <f aca="false">D22*F22</f>
        <v>79.9854</v>
      </c>
      <c r="H22" s="32" t="n">
        <v>0</v>
      </c>
      <c r="I22" s="32" t="n">
        <f aca="false">G22+H22</f>
        <v>79.9854</v>
      </c>
      <c r="J22" s="33" t="n">
        <f aca="false">I22*Supuestos!$B$3</f>
        <v>3199416</v>
      </c>
    </row>
    <row r="23" customFormat="false" ht="15" hidden="false" customHeight="false" outlineLevel="0" collapsed="false">
      <c r="A23" s="36" t="s">
        <v>100</v>
      </c>
      <c r="B23" s="36"/>
      <c r="C23" s="36"/>
      <c r="D23" s="37" t="n">
        <f aca="false">D19</f>
        <v>727.14</v>
      </c>
      <c r="E23" s="36" t="s">
        <v>101</v>
      </c>
      <c r="F23" s="36"/>
      <c r="G23" s="36" t="n">
        <f aca="false">SUM(G19:G22)</f>
        <v>401.07</v>
      </c>
      <c r="H23" s="36" t="n">
        <f aca="false">SUM(H19:H22)</f>
        <v>61.006074</v>
      </c>
      <c r="I23" s="36" t="n">
        <f aca="false">SUM(I19:I22)</f>
        <v>462.076074</v>
      </c>
      <c r="J23" s="38" t="n">
        <f aca="false">SUM(J19:J22)</f>
        <v>18483042.96</v>
      </c>
    </row>
    <row r="24" customFormat="false" ht="15" hidden="false" customHeight="false" outlineLevel="0" collapsed="false">
      <c r="A24" s="17" t="s">
        <v>102</v>
      </c>
      <c r="I24" s="39" t="n">
        <f aca="false">I23*Supuestos!$B$5</f>
        <v>5544.912888</v>
      </c>
      <c r="J24" s="40" t="n">
        <f aca="false">I24*Supuestos!$B$3</f>
        <v>221796515.52</v>
      </c>
    </row>
    <row r="25" customFormat="false" ht="15" hidden="false" customHeight="false" outlineLevel="0" collapsed="false">
      <c r="A25" s="17" t="s">
        <v>103</v>
      </c>
      <c r="I25" s="39" t="n">
        <f aca="false">MAX(Supuestos!$B$6*SUM(G19:G21)*Supuestos!$B$5,SUM(G19:G21))*(1+Supuestos!$B$4)</f>
        <v>382.090674</v>
      </c>
      <c r="J25" s="40" t="n">
        <f aca="false">I25*Supuestos!$B$3</f>
        <v>15283626.96</v>
      </c>
    </row>
    <row r="26" customFormat="false" ht="15" hidden="false" customHeight="false" outlineLevel="0" collapsed="false">
      <c r="A26" s="17" t="s">
        <v>104</v>
      </c>
      <c r="B26" s="19" t="s">
        <v>105</v>
      </c>
      <c r="I26" s="41" t="n">
        <v>0</v>
      </c>
      <c r="J26" s="40" t="n">
        <f aca="false">I26*Supuestos!$B$3</f>
        <v>0</v>
      </c>
    </row>
    <row r="27" customFormat="false" ht="15" hidden="false" customHeight="false" outlineLevel="0" collapsed="false">
      <c r="A27" s="42" t="s">
        <v>106</v>
      </c>
      <c r="B27" s="43"/>
      <c r="C27" s="43"/>
      <c r="D27" s="43"/>
      <c r="E27" s="43"/>
      <c r="F27" s="43"/>
      <c r="G27" s="43"/>
      <c r="H27" s="43"/>
      <c r="I27" s="36" t="n">
        <f aca="false">SUM(I24:I26)</f>
        <v>5927.003562</v>
      </c>
      <c r="J27" s="38" t="n">
        <f aca="false">I27*Supuestos!$B$3</f>
        <v>237080142.48</v>
      </c>
    </row>
    <row r="29" customFormat="false" ht="15" hidden="false" customHeight="false" outlineLevel="0" collapsed="false">
      <c r="A29" s="27" t="s">
        <v>108</v>
      </c>
      <c r="B29" s="28"/>
      <c r="C29" s="28"/>
      <c r="D29" s="28"/>
      <c r="E29" s="28"/>
      <c r="F29" s="28"/>
      <c r="G29" s="28"/>
      <c r="H29" s="28"/>
      <c r="I29" s="28"/>
      <c r="J29" s="28"/>
    </row>
    <row r="30" customFormat="false" ht="30" hidden="false" customHeight="true" outlineLevel="0" collapsed="false">
      <c r="A30" s="29" t="s">
        <v>88</v>
      </c>
      <c r="B30" s="29" t="s">
        <v>89</v>
      </c>
      <c r="C30" s="29" t="s">
        <v>58</v>
      </c>
      <c r="D30" s="29" t="s">
        <v>90</v>
      </c>
      <c r="E30" s="29" t="s">
        <v>91</v>
      </c>
      <c r="F30" s="29" t="s">
        <v>92</v>
      </c>
      <c r="G30" s="29" t="s">
        <v>93</v>
      </c>
      <c r="H30" s="29" t="s">
        <v>94</v>
      </c>
      <c r="I30" s="29" t="s">
        <v>13</v>
      </c>
      <c r="J30" s="29" t="s">
        <v>14</v>
      </c>
    </row>
    <row r="31" customFormat="false" ht="15" hidden="false" customHeight="false" outlineLevel="0" collapsed="false">
      <c r="A31" s="4" t="s">
        <v>95</v>
      </c>
      <c r="B31" s="30" t="s">
        <v>79</v>
      </c>
      <c r="C31" s="4" t="str">
        <f aca="false">INDEX(Unidades!$E$4:$E$14,MATCH(B31,Unidades!$B$4:$B$14,0))</f>
        <v>Habilitada</v>
      </c>
      <c r="D31" s="31" t="n">
        <f aca="false">INDEX(Unidades!$C$4:$C$14,MATCH(B31,Unidades!$B$4:$B$14,0))</f>
        <v>959</v>
      </c>
      <c r="E31" s="4" t="s">
        <v>96</v>
      </c>
      <c r="F31" s="32" t="n">
        <f aca="false">INDEX(Unidades!$D$4:$D$14,MATCH(B31,Unidades!$B$4:$B$14,0))</f>
        <v>0.3</v>
      </c>
      <c r="G31" s="32" t="n">
        <f aca="false">D31*F31</f>
        <v>287.7</v>
      </c>
      <c r="H31" s="32" t="n">
        <f aca="false">G31*Supuestos!$B$4</f>
        <v>54.663</v>
      </c>
      <c r="I31" s="32" t="n">
        <f aca="false">G31+H31</f>
        <v>342.363</v>
      </c>
      <c r="J31" s="33" t="n">
        <f aca="false">I31*Supuestos!$B$3</f>
        <v>13694520</v>
      </c>
    </row>
    <row r="32" customFormat="false" ht="15" hidden="false" customHeight="false" outlineLevel="0" collapsed="false">
      <c r="A32" s="4" t="s">
        <v>9</v>
      </c>
      <c r="B32" s="4"/>
      <c r="C32" s="4"/>
      <c r="D32" s="34" t="n">
        <f aca="false">Supuestos!$B$7</f>
        <v>10</v>
      </c>
      <c r="E32" s="4" t="s">
        <v>97</v>
      </c>
      <c r="F32" s="35" t="n">
        <f aca="false">Supuestos!$B$15</f>
        <v>3.5</v>
      </c>
      <c r="G32" s="32" t="n">
        <f aca="false">D32*F32</f>
        <v>35</v>
      </c>
      <c r="H32" s="32" t="n">
        <f aca="false">G32*Supuestos!$B$4</f>
        <v>6.65</v>
      </c>
      <c r="I32" s="32" t="n">
        <f aca="false">G32+H32</f>
        <v>41.65</v>
      </c>
      <c r="J32" s="33" t="n">
        <f aca="false">I32*Supuestos!$B$3</f>
        <v>1666000</v>
      </c>
    </row>
    <row r="33" customFormat="false" ht="15" hidden="false" customHeight="false" outlineLevel="0" collapsed="false">
      <c r="A33" s="4" t="s">
        <v>10</v>
      </c>
      <c r="B33" s="4"/>
      <c r="C33" s="4"/>
      <c r="D33" s="34" t="n">
        <f aca="false">Supuestos!$B$8</f>
        <v>10</v>
      </c>
      <c r="E33" s="4" t="s">
        <v>96</v>
      </c>
      <c r="F33" s="35" t="n">
        <f aca="false">Supuestos!$C$15</f>
        <v>0.25</v>
      </c>
      <c r="G33" s="32" t="n">
        <f aca="false">D33*F33</f>
        <v>2.5</v>
      </c>
      <c r="H33" s="32" t="n">
        <f aca="false">G33*Supuestos!$B$4</f>
        <v>0.475</v>
      </c>
      <c r="I33" s="32" t="n">
        <f aca="false">G33+H33</f>
        <v>2.975</v>
      </c>
      <c r="J33" s="33" t="n">
        <f aca="false">I33*Supuestos!$B$3</f>
        <v>119000</v>
      </c>
    </row>
    <row r="34" customFormat="false" ht="15" hidden="false" customHeight="false" outlineLevel="0" collapsed="false">
      <c r="A34" s="4" t="s">
        <v>98</v>
      </c>
      <c r="B34" s="4" t="s">
        <v>99</v>
      </c>
      <c r="C34" s="4"/>
      <c r="D34" s="34" t="n">
        <f aca="false">D31</f>
        <v>959</v>
      </c>
      <c r="E34" s="4" t="s">
        <v>96</v>
      </c>
      <c r="F34" s="35" t="n">
        <f aca="false">Supuestos!$D$15</f>
        <v>0.12</v>
      </c>
      <c r="G34" s="32" t="n">
        <f aca="false">D34*F34</f>
        <v>115.08</v>
      </c>
      <c r="H34" s="32" t="n">
        <v>0</v>
      </c>
      <c r="I34" s="32" t="n">
        <f aca="false">G34+H34</f>
        <v>115.08</v>
      </c>
      <c r="J34" s="33" t="n">
        <f aca="false">I34*Supuestos!$B$3</f>
        <v>4603200</v>
      </c>
    </row>
    <row r="35" customFormat="false" ht="15" hidden="false" customHeight="false" outlineLevel="0" collapsed="false">
      <c r="A35" s="36" t="s">
        <v>100</v>
      </c>
      <c r="B35" s="36"/>
      <c r="C35" s="36"/>
      <c r="D35" s="37" t="n">
        <f aca="false">D31</f>
        <v>959</v>
      </c>
      <c r="E35" s="36" t="s">
        <v>101</v>
      </c>
      <c r="F35" s="36"/>
      <c r="G35" s="36" t="n">
        <f aca="false">SUM(G31:G34)</f>
        <v>440.28</v>
      </c>
      <c r="H35" s="36" t="n">
        <f aca="false">SUM(H31:H34)</f>
        <v>61.788</v>
      </c>
      <c r="I35" s="36" t="n">
        <f aca="false">SUM(I31:I34)</f>
        <v>502.068</v>
      </c>
      <c r="J35" s="38" t="n">
        <f aca="false">SUM(J31:J34)</f>
        <v>20082720</v>
      </c>
    </row>
    <row r="36" customFormat="false" ht="15" hidden="false" customHeight="false" outlineLevel="0" collapsed="false">
      <c r="A36" s="17" t="s">
        <v>102</v>
      </c>
      <c r="I36" s="39" t="n">
        <f aca="false">I35*Supuestos!$B$5</f>
        <v>6024.816</v>
      </c>
      <c r="J36" s="40" t="n">
        <f aca="false">I36*Supuestos!$B$3</f>
        <v>240992640</v>
      </c>
    </row>
    <row r="37" customFormat="false" ht="15" hidden="false" customHeight="false" outlineLevel="0" collapsed="false">
      <c r="A37" s="17" t="s">
        <v>103</v>
      </c>
      <c r="I37" s="39" t="n">
        <f aca="false">MAX(Supuestos!$B$6*SUM(G31:G33)*Supuestos!$B$5,SUM(G31:G33))*(1+Supuestos!$B$4)</f>
        <v>386.988</v>
      </c>
      <c r="J37" s="40" t="n">
        <f aca="false">I37*Supuestos!$B$3</f>
        <v>15479520</v>
      </c>
    </row>
    <row r="38" customFormat="false" ht="15" hidden="false" customHeight="false" outlineLevel="0" collapsed="false">
      <c r="A38" s="17" t="s">
        <v>104</v>
      </c>
      <c r="B38" s="19" t="s">
        <v>105</v>
      </c>
      <c r="I38" s="41" t="n">
        <v>0</v>
      </c>
      <c r="J38" s="40" t="n">
        <f aca="false">I38*Supuestos!$B$3</f>
        <v>0</v>
      </c>
    </row>
    <row r="39" customFormat="false" ht="15" hidden="false" customHeight="false" outlineLevel="0" collapsed="false">
      <c r="A39" s="42" t="s">
        <v>106</v>
      </c>
      <c r="B39" s="43"/>
      <c r="C39" s="43"/>
      <c r="D39" s="43"/>
      <c r="E39" s="43"/>
      <c r="F39" s="43"/>
      <c r="G39" s="43"/>
      <c r="H39" s="43"/>
      <c r="I39" s="36" t="n">
        <f aca="false">SUM(I36:I38)</f>
        <v>6411.804</v>
      </c>
      <c r="J39" s="38" t="n">
        <f aca="false">I39*Supuestos!$B$3</f>
        <v>256472160</v>
      </c>
    </row>
    <row r="41" customFormat="false" ht="15" hidden="false" customHeight="false" outlineLevel="0" collapsed="false">
      <c r="A41" s="14" t="s">
        <v>109</v>
      </c>
    </row>
    <row r="42" customFormat="false" ht="15" hidden="false" customHeight="false" outlineLevel="0" collapsed="false">
      <c r="A42" s="2" t="s">
        <v>110</v>
      </c>
    </row>
    <row r="43" customFormat="false" ht="15" hidden="false" customHeight="false" outlineLevel="0" collapsed="false">
      <c r="A43" s="2" t="s">
        <v>111</v>
      </c>
    </row>
    <row r="44" customFormat="false" ht="15" hidden="false" customHeight="false" outlineLevel="0" collapsed="false">
      <c r="A44" s="2" t="s">
        <v>112</v>
      </c>
    </row>
    <row r="45" customFormat="false" ht="15" hidden="false" customHeight="false" outlineLevel="0" collapsed="false">
      <c r="A45" s="2" t="s">
        <v>113</v>
      </c>
    </row>
  </sheetData>
  <dataValidations count="3">
    <dataValidation allowBlank="true" errorStyle="stop" operator="between" showDropDown="false" showErrorMessage="false" showInputMessage="false" sqref="B5:B7" type="list">
      <formula1>Unidades!$B$4:$B$6</formula1>
      <formula2>0</formula2>
    </dataValidation>
    <dataValidation allowBlank="true" errorStyle="stop" operator="between" showDropDown="false" showErrorMessage="false" showInputMessage="false" sqref="B19" type="list">
      <formula1>Unidades!$B$7:$B$11</formula1>
      <formula2>0</formula2>
    </dataValidation>
    <dataValidation allowBlank="true" errorStyle="stop" operator="between" showDropDown="false" showErrorMessage="false" showInputMessage="false" sqref="B31" type="list">
      <formula1>Unidades!$B$12:$B$14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2026-09-30T22:37:15Z</dcterms:created>
  <dc:creator>openpyxl</dc:creator>
  <dc:description/>
  <dc:language>en-US</dc:language>
  <cp:lastModifiedBy/>
  <dcterms:modified xsi:type="dcterms:W3CDTF">2026-09-30T22:37:15Z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