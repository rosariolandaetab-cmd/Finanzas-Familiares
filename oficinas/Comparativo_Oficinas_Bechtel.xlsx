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</sheets>
  <definedNames>
    <definedName function="false" hidden="false" localSheetId="0" name="_xlnm.Print_Area" vbProcedure="false">Comparativo!$B$1:$G$67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Actualizar con el valor UF del día (sii.cl).</t>
        </r>
      </text>
    </comment>
    <comment ref="D38" authorId="0">
      <text>
        <r>
          <rPr>
            <sz val="10"/>
            <rFont val="Arial"/>
            <family val="2"/>
          </rPr>
          <t xml:space="preserve">Zócalo: valor informado por el broker (no está en la presentación).</t>
        </r>
      </text>
    </comment>
    <comment ref="D57" authorId="0">
      <text>
        <r>
          <rPr>
            <sz val="10"/>
            <rFont val="Arial"/>
            <family val="2"/>
          </rPr>
          <t xml:space="preserve">SUPUESTO: la presentación no informa este valor ('Consultar'). Confirmar con JLL.</t>
        </r>
      </text>
    </comment>
    <comment ref="D58" authorId="0">
      <text>
        <r>
          <rPr>
            <sz val="10"/>
            <rFont val="Arial"/>
            <family val="2"/>
          </rPr>
          <t xml:space="preserve">SUPUESTO: la presentación no informa este valor ('Consultar'). Confirmar con JLL.</t>
        </r>
      </text>
    </comment>
    <comment ref="D59" authorId="0">
      <text>
        <r>
          <rPr>
            <sz val="10"/>
            <rFont val="Arial"/>
            <family val="2"/>
          </rPr>
          <t xml:space="preserve">SUPUESTO: la presentación no informa este valor ('Consultar'). Confirmar con JLL.</t>
        </r>
      </text>
    </comment>
  </commentList>
</comments>
</file>

<file path=xl/sharedStrings.xml><?xml version="1.0" encoding="utf-8"?>
<sst xmlns="http://schemas.openxmlformats.org/spreadsheetml/2006/main" count="70" uniqueCount="43">
  <si>
    <t xml:space="preserve">Alternativas de oficina · Bechtel — Costo mensual</t>
  </si>
  <si>
    <t xml:space="preserve">Fuente: presentación JLL (sept. 2026) y correo del broker · Valores en UF, arriendo mensual · Contrato 1 año</t>
  </si>
  <si>
    <t xml:space="preserve">✎  DATOS EDITABLES (celdas amarillas)</t>
  </si>
  <si>
    <t xml:space="preserve">Valor UF ($)</t>
  </si>
  <si>
    <t xml:space="preserve">Estac.</t>
  </si>
  <si>
    <t xml:space="preserve">Bodega (m²)</t>
  </si>
  <si>
    <t xml:space="preserve">IVA</t>
  </si>
  <si>
    <t xml:space="preserve">Meses</t>
  </si>
  <si>
    <t xml:space="preserve">RESUMEN</t>
  </si>
  <si>
    <t xml:space="preserve">ALTERNATIVA 1</t>
  </si>
  <si>
    <t xml:space="preserve">ALTERNATIVA 2</t>
  </si>
  <si>
    <t xml:space="preserve">ALTERNATIVA 3</t>
  </si>
  <si>
    <t xml:space="preserve">Datos gráfico</t>
  </si>
  <si>
    <t xml:space="preserve">UF/mes</t>
  </si>
  <si>
    <t xml:space="preserve">Plaza San Damián</t>
  </si>
  <si>
    <t xml:space="preserve">Parque San Damián</t>
  </si>
  <si>
    <t xml:space="preserve">Edificio Indumotora</t>
  </si>
  <si>
    <t xml:space="preserve">Total mensual (con IVA y gastos comunes)</t>
  </si>
  <si>
    <t xml:space="preserve">DETALLE POR ALTERNATIVA</t>
  </si>
  <si>
    <t xml:space="preserve">ALTERNATIVA 1  ·  Plaza San Damián  ·  Av. Las Condes 11285</t>
  </si>
  <si>
    <t xml:space="preserve">Ítem</t>
  </si>
  <si>
    <t xml:space="preserve">Cantidad</t>
  </si>
  <si>
    <t xml:space="preserve">Precio (UF)</t>
  </si>
  <si>
    <t xml:space="preserve">Mensual neto (UF)</t>
  </si>
  <si>
    <t xml:space="preserve">Mensual c/IVA (UF)</t>
  </si>
  <si>
    <t xml:space="preserve">Mensual c/IVA ($)</t>
  </si>
  <si>
    <t xml:space="preserve">Oficina 302 A (habilitada)</t>
  </si>
  <si>
    <t xml:space="preserve">Oficina 203 B (habilitada)</t>
  </si>
  <si>
    <t xml:space="preserve">Zócalo (en bruto)</t>
  </si>
  <si>
    <t xml:space="preserve">Estacionamientos</t>
  </si>
  <si>
    <t xml:space="preserve">Bodega</t>
  </si>
  <si>
    <t xml:space="preserve">Gastos comunes (aprox., sin IVA)</t>
  </si>
  <si>
    <t xml:space="preserve">TOTAL MENSUAL</t>
  </si>
  <si>
    <t xml:space="preserve">Comisión JLL (pago único: 1 mes de arriendo + IVA)</t>
  </si>
  <si>
    <t xml:space="preserve">ALTERNATIVA 2  ·  Parque San Damián  ·  Av. Las Condes 11700</t>
  </si>
  <si>
    <t xml:space="preserve">Oficina 900 B (obra gruesa)</t>
  </si>
  <si>
    <t xml:space="preserve">ALTERNATIVA 3  ·  Edificio Indumotora  ·  Av. Las Condes 11774</t>
  </si>
  <si>
    <t xml:space="preserve">Oficina 500 (habilitada)</t>
  </si>
  <si>
    <t xml:space="preserve">NOTAS</t>
  </si>
  <si>
    <t xml:space="preserve">• Celdas amarillas = supuestos editables. Números en azul = datos de la presentación (también editables).</t>
  </si>
  <si>
    <t xml:space="preserve">• Indumotora: estacionamiento, bodega y gastos comunes son supuestos (la presentación dice 'Consultar').</t>
  </si>
  <si>
    <t xml:space="preserve">• Zócalo (Alt. 1) y Parque San Damián (Alt. 2) requieren habilitación: ese costo no está incluido.</t>
  </si>
  <si>
    <t xml:space="preserve">• No incluye garantía, mudanza ni consumos (luz, agua, internet).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</si>
</sst>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$ &quot;#,##0"/>
    <numFmt numFmtId="166" formatCode="0"/>
    <numFmt numFmtId="167" formatCode="0%"/>
    <numFmt numFmtId="168" formatCode="#,##0.0"/>
    <numFmt numFmtId="169" formatCode="#,##0.0&quot; UF&quot;"/>
    <numFmt numFmtId="170" formatCode="0.00&quot; UF/m² todo incluido&quot;"/>
    <numFmt numFmtId="171" formatCode="&quot;Año (incl. comisión): &quot;#,##0&quot; UF&quot;"/>
    <numFmt numFmtId="172" formatCode="#,##0.00&quot; m²&quot;"/>
    <numFmt numFmtId="173" formatCode="#,##0.00"/>
    <numFmt numFmtId="174" formatCode="0&quot; un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E306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E3061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8"/>
      <color rgb="FFE306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E306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30613"/>
        <bgColor rgb="FF99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A1A1A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>
        <color rgb="FFE30613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mensual total (UF, con IVA)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Comparativo!K9</c:f>
              <c:strCache>
                <c:ptCount val="1"/>
                <c:pt idx="0">
                  <c:v>UF/mes</c:v>
                </c:pt>
              </c:strCache>
            </c:strRef>
          </c:tx>
          <c:spPr>
            <a:solidFill>
              <a:srgbClr val="e30613"/>
            </a:solidFill>
            <a:ln w="9360">
              <a:solidFill>
                <a:srgbClr val="e30613"/>
              </a:solidFill>
              <a:round/>
            </a:ln>
          </c:spPr>
          <c:invertIfNegative val="0"/>
          <c:dLbls>
            <c:numFmt formatCode="#,##0.0&quot; UF&quot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Comparativo!$J$10:$J$12</c:f>
              <c:strCache>
                <c:ptCount val="3"/>
                <c:pt idx="0">
                  <c:v>Plaza San Damián</c:v>
                </c:pt>
                <c:pt idx="1">
                  <c:v>Parque San Damián</c:v>
                </c:pt>
                <c:pt idx="2">
                  <c:v>Edificio Indumotora</c:v>
                </c:pt>
              </c:strCache>
            </c:strRef>
          </c:cat>
          <c:val>
            <c:numRef>
              <c:f>Comparativo!$K$10:$K$12</c:f>
              <c:numCache>
                <c:formatCode>#,##0.0</c:formatCode>
                <c:ptCount val="3"/>
                <c:pt idx="0">
                  <c:v>641.8938</c:v>
                </c:pt>
                <c:pt idx="1">
                  <c:v>462.076074</c:v>
                </c:pt>
                <c:pt idx="2">
                  <c:v>502.068</c:v>
                </c:pt>
              </c:numCache>
            </c:numRef>
          </c:val>
        </c:ser>
        <c:gapWidth val="80"/>
        <c:overlap val="0"/>
        <c:axId val="14131223"/>
        <c:axId val="65847538"/>
      </c:barChart>
      <c:catAx>
        <c:axId val="14131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47538"/>
        <c:crosses val="autoZero"/>
        <c:auto val="1"/>
        <c:lblAlgn val="ctr"/>
        <c:lblOffset val="100"/>
        <c:noMultiLvlLbl val="0"/>
      </c:catAx>
      <c:valAx>
        <c:axId val="65847538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3122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6</xdr:col>
      <xdr:colOff>1380600</xdr:colOff>
      <xdr:row>30</xdr:row>
      <xdr:rowOff>161640</xdr:rowOff>
    </xdr:to>
    <xdr:graphicFrame>
      <xdr:nvGraphicFramePr>
        <xdr:cNvPr id="0" name="Chart 1"/>
        <xdr:cNvGraphicFramePr/>
      </xdr:nvGraphicFramePr>
      <xdr:xfrm>
        <a:off x="177840" y="4010040"/>
        <a:ext cx="111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22"/>
    <col collapsed="false" customWidth="true" hidden="false" outlineLevel="0" max="7" min="7" style="0" width="21"/>
    <col collapsed="false" customWidth="true" hidden="false" outlineLevel="0" max="8" min="8" style="0" width="2"/>
    <col collapsed="false" customWidth="true" hidden="false" outlineLevel="0" max="10" min="10" style="0" width="18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v>40000</v>
      </c>
      <c r="D5" s="6" t="s">
        <v>4</v>
      </c>
      <c r="E5" s="7" t="n">
        <v>10</v>
      </c>
      <c r="F5" s="6" t="s">
        <v>5</v>
      </c>
      <c r="G5" s="7" t="n">
        <v>10</v>
      </c>
    </row>
    <row r="6" customFormat="false" ht="15" hidden="false" customHeight="false" outlineLevel="0" collapsed="false">
      <c r="B6" s="4" t="s">
        <v>6</v>
      </c>
      <c r="C6" s="8" t="n">
        <v>0.19</v>
      </c>
      <c r="D6" s="6" t="s">
        <v>7</v>
      </c>
      <c r="E6" s="7" t="n">
        <v>12</v>
      </c>
    </row>
    <row r="8" customFormat="false" ht="15" hidden="false" customHeight="false" outlineLevel="0" collapsed="false">
      <c r="B8" s="9" t="s">
        <v>8</v>
      </c>
    </row>
    <row r="9" customFormat="false" ht="15.75" hidden="false" customHeight="true" outlineLevel="0" collapsed="false">
      <c r="B9" s="10" t="s">
        <v>9</v>
      </c>
      <c r="C9" s="10"/>
      <c r="D9" s="10" t="s">
        <v>10</v>
      </c>
      <c r="E9" s="10"/>
      <c r="F9" s="10" t="s">
        <v>11</v>
      </c>
      <c r="G9" s="10"/>
      <c r="J9" s="11" t="s">
        <v>12</v>
      </c>
      <c r="K9" s="11" t="s">
        <v>13</v>
      </c>
    </row>
    <row r="10" customFormat="false" ht="21.75" hidden="false" customHeight="true" outlineLevel="0" collapsed="false">
      <c r="B10" s="12" t="s">
        <v>14</v>
      </c>
      <c r="C10" s="12"/>
      <c r="D10" s="12" t="s">
        <v>15</v>
      </c>
      <c r="E10" s="12"/>
      <c r="F10" s="12" t="s">
        <v>16</v>
      </c>
      <c r="G10" s="12"/>
      <c r="J10" s="11" t="s">
        <v>14</v>
      </c>
      <c r="K10" s="13" t="n">
        <f aca="false">F42</f>
        <v>641.8938</v>
      </c>
    </row>
    <row r="11" customFormat="false" ht="15.75" hidden="false" customHeight="true" outlineLevel="0" collapsed="false">
      <c r="B11" s="14" t="str">
        <f aca="false">TEXT(C36+C37+C38,"#,##0")&amp;" m²  ·  Habilitada + zócalo en bruto"</f>
        <v>1,037 m²  ·  Habilitada + zócalo en bruto</v>
      </c>
      <c r="C11" s="14"/>
      <c r="D11" s="14" t="str">
        <f aca="false">TEXT(C47,"#,##0")&amp;" m²  ·  Obra gruesa (hay que habilitar)"</f>
        <v>727 m²  ·  Obra gruesa (hay que habilitar)</v>
      </c>
      <c r="E11" s="14"/>
      <c r="F11" s="14" t="str">
        <f aca="false">TEXT(C56,"#,##0")&amp;" m²  ·  Habilitada"</f>
        <v>959 m²  ·  Habilitada</v>
      </c>
      <c r="G11" s="14"/>
      <c r="J11" s="11" t="s">
        <v>15</v>
      </c>
      <c r="K11" s="13" t="n">
        <f aca="false">F51</f>
        <v>462.076074</v>
      </c>
    </row>
    <row r="12" customFormat="false" ht="13.5" hidden="false" customHeight="true" outlineLevel="0" collapsed="false">
      <c r="B12" s="15" t="s">
        <v>17</v>
      </c>
      <c r="C12" s="15"/>
      <c r="D12" s="15" t="s">
        <v>17</v>
      </c>
      <c r="E12" s="15"/>
      <c r="F12" s="15" t="s">
        <v>17</v>
      </c>
      <c r="G12" s="15"/>
      <c r="J12" s="11" t="s">
        <v>16</v>
      </c>
      <c r="K12" s="13" t="n">
        <f aca="false">F60</f>
        <v>502.068</v>
      </c>
    </row>
    <row r="13" customFormat="false" ht="31.5" hidden="false" customHeight="true" outlineLevel="0" collapsed="false">
      <c r="B13" s="16" t="n">
        <f aca="false">F42</f>
        <v>641.8938</v>
      </c>
      <c r="C13" s="16"/>
      <c r="D13" s="16" t="n">
        <f aca="false">F51</f>
        <v>462.076074</v>
      </c>
      <c r="E13" s="16"/>
      <c r="F13" s="16" t="n">
        <f aca="false">F60</f>
        <v>502.068</v>
      </c>
      <c r="G13" s="16"/>
    </row>
    <row r="14" customFormat="false" ht="18" hidden="false" customHeight="true" outlineLevel="0" collapsed="false">
      <c r="B14" s="17" t="n">
        <f aca="false">G42</f>
        <v>25675752</v>
      </c>
      <c r="C14" s="17"/>
      <c r="D14" s="17" t="n">
        <f aca="false">G51</f>
        <v>18483042.96</v>
      </c>
      <c r="E14" s="17"/>
      <c r="F14" s="17" t="n">
        <f aca="false">G60</f>
        <v>20082720</v>
      </c>
      <c r="G14" s="17"/>
    </row>
    <row r="15" customFormat="false" ht="15" hidden="false" customHeight="true" outlineLevel="0" collapsed="false">
      <c r="B15" s="18" t="n">
        <f aca="false">F42/(C36+C37+C38)</f>
        <v>0.618901605360845</v>
      </c>
      <c r="C15" s="18"/>
      <c r="D15" s="18" t="n">
        <f aca="false">F51/(C47)</f>
        <v>0.635470575129961</v>
      </c>
      <c r="E15" s="18"/>
      <c r="F15" s="18" t="n">
        <f aca="false">F60/(C56)</f>
        <v>0.523532846715328</v>
      </c>
      <c r="G15" s="18"/>
    </row>
    <row r="16" customFormat="false" ht="15" hidden="false" customHeight="true" outlineLevel="0" collapsed="false">
      <c r="B16" s="19" t="n">
        <f aca="false">F42*$E$6+F43</f>
        <v>8220.1614</v>
      </c>
      <c r="C16" s="19"/>
      <c r="D16" s="19" t="n">
        <f aca="false">F51*$E$6+F52</f>
        <v>5927.003562</v>
      </c>
      <c r="E16" s="19"/>
      <c r="F16" s="19" t="n">
        <f aca="false">F60*$E$6+F61</f>
        <v>6411.804</v>
      </c>
      <c r="G16" s="19"/>
    </row>
    <row r="17" customFormat="false" ht="15.75" hidden="false" customHeight="true" outlineLevel="0" collapsed="false">
      <c r="B17" s="20" t="str">
        <f aca="false">IF(F42=MIN(F42,F51,F60),"★ MÁS ECONÓMICA","")</f>
        <v/>
      </c>
      <c r="C17" s="20"/>
      <c r="D17" s="20" t="str">
        <f aca="false">IF(F51=MIN(F42,F51,F60),"★ MÁS ECONÓMICA","")</f>
        <v>★ MÁS ECONÓMICA</v>
      </c>
      <c r="E17" s="20"/>
      <c r="F17" s="20" t="str">
        <f aca="false">IF(F60=MIN(F42,F51,F60),"★ MÁS ECONÓMICA","")</f>
        <v/>
      </c>
      <c r="G17" s="20"/>
    </row>
    <row r="33" customFormat="false" ht="15" hidden="false" customHeight="false" outlineLevel="0" collapsed="false">
      <c r="B33" s="21" t="s">
        <v>18</v>
      </c>
      <c r="C33" s="21"/>
      <c r="D33" s="21"/>
      <c r="E33" s="21"/>
      <c r="F33" s="21"/>
      <c r="G33" s="21"/>
    </row>
    <row r="34" customFormat="false" ht="21.75" hidden="false" customHeight="true" outlineLevel="0" collapsed="false">
      <c r="B34" s="22" t="s">
        <v>19</v>
      </c>
      <c r="C34" s="22"/>
      <c r="D34" s="22"/>
      <c r="E34" s="22"/>
      <c r="F34" s="22"/>
      <c r="G34" s="22"/>
    </row>
    <row r="35" customFormat="false" ht="15" hidden="false" customHeight="false" outlineLevel="0" collapsed="false">
      <c r="B35" s="23" t="s">
        <v>20</v>
      </c>
      <c r="C35" s="24" t="s">
        <v>21</v>
      </c>
      <c r="D35" s="24" t="s">
        <v>22</v>
      </c>
      <c r="E35" s="24" t="s">
        <v>23</v>
      </c>
      <c r="F35" s="24" t="s">
        <v>24</v>
      </c>
      <c r="G35" s="24" t="s">
        <v>25</v>
      </c>
    </row>
    <row r="36" customFormat="false" ht="15" hidden="false" customHeight="false" outlineLevel="0" collapsed="false">
      <c r="B36" s="25" t="s">
        <v>26</v>
      </c>
      <c r="C36" s="26" t="n">
        <v>378.52</v>
      </c>
      <c r="D36" s="27" t="n">
        <v>0.4</v>
      </c>
      <c r="E36" s="28" t="n">
        <f aca="false">C36*D36</f>
        <v>151.408</v>
      </c>
      <c r="F36" s="28" t="n">
        <f aca="false">E36*(1+$C$6)</f>
        <v>180.17552</v>
      </c>
      <c r="G36" s="29" t="n">
        <f aca="false">F36*$C$5</f>
        <v>7207020.8</v>
      </c>
    </row>
    <row r="37" customFormat="false" ht="15" hidden="false" customHeight="false" outlineLevel="0" collapsed="false">
      <c r="B37" s="25" t="s">
        <v>27</v>
      </c>
      <c r="C37" s="26" t="n">
        <v>207.83</v>
      </c>
      <c r="D37" s="27" t="n">
        <v>0.4</v>
      </c>
      <c r="E37" s="28" t="n">
        <f aca="false">C37*D37</f>
        <v>83.132</v>
      </c>
      <c r="F37" s="28" t="n">
        <f aca="false">E37*(1+$C$6)</f>
        <v>98.92708</v>
      </c>
      <c r="G37" s="29" t="n">
        <f aca="false">F37*$C$5</f>
        <v>3957083.2</v>
      </c>
    </row>
    <row r="38" customFormat="false" ht="15" hidden="false" customHeight="false" outlineLevel="0" collapsed="false">
      <c r="B38" s="25" t="s">
        <v>28</v>
      </c>
      <c r="C38" s="26" t="n">
        <v>450.8</v>
      </c>
      <c r="D38" s="27" t="n">
        <v>0.35</v>
      </c>
      <c r="E38" s="28" t="n">
        <f aca="false">C38*D38</f>
        <v>157.78</v>
      </c>
      <c r="F38" s="28" t="n">
        <f aca="false">E38*(1+$C$6)</f>
        <v>187.7582</v>
      </c>
      <c r="G38" s="29" t="n">
        <f aca="false">F38*$C$5</f>
        <v>7510328</v>
      </c>
    </row>
    <row r="39" customFormat="false" ht="15" hidden="false" customHeight="false" outlineLevel="0" collapsed="false">
      <c r="B39" s="25" t="s">
        <v>29</v>
      </c>
      <c r="C39" s="30" t="n">
        <f aca="false">$E$5</f>
        <v>10</v>
      </c>
      <c r="D39" s="27" t="n">
        <v>4</v>
      </c>
      <c r="E39" s="28" t="n">
        <f aca="false">C39*D39</f>
        <v>40</v>
      </c>
      <c r="F39" s="28" t="n">
        <f aca="false">E39*(1+$C$6)</f>
        <v>47.6</v>
      </c>
      <c r="G39" s="29" t="n">
        <f aca="false">F39*$C$5</f>
        <v>1904000</v>
      </c>
    </row>
    <row r="40" customFormat="false" ht="15" hidden="false" customHeight="false" outlineLevel="0" collapsed="false">
      <c r="B40" s="25" t="s">
        <v>30</v>
      </c>
      <c r="C40" s="31" t="n">
        <f aca="false">$G$5</f>
        <v>10</v>
      </c>
      <c r="D40" s="27" t="n">
        <v>0.25</v>
      </c>
      <c r="E40" s="28" t="n">
        <f aca="false">C40*D40</f>
        <v>2.5</v>
      </c>
      <c r="F40" s="28" t="n">
        <f aca="false">E40*(1+$C$6)</f>
        <v>2.975</v>
      </c>
      <c r="G40" s="29" t="n">
        <f aca="false">F40*$C$5</f>
        <v>119000</v>
      </c>
    </row>
    <row r="41" customFormat="false" ht="15" hidden="false" customHeight="false" outlineLevel="0" collapsed="false">
      <c r="B41" s="25" t="s">
        <v>31</v>
      </c>
      <c r="C41" s="31" t="n">
        <f aca="false">C36+C37+C38</f>
        <v>1037.15</v>
      </c>
      <c r="D41" s="27" t="n">
        <v>0.12</v>
      </c>
      <c r="E41" s="28" t="n">
        <f aca="false">C41*D41</f>
        <v>124.458</v>
      </c>
      <c r="F41" s="28" t="n">
        <f aca="false">E41</f>
        <v>124.458</v>
      </c>
      <c r="G41" s="29" t="n">
        <f aca="false">F41*$C$5</f>
        <v>4978320</v>
      </c>
    </row>
    <row r="42" customFormat="false" ht="15" hidden="false" customHeight="false" outlineLevel="0" collapsed="false">
      <c r="B42" s="32" t="s">
        <v>32</v>
      </c>
      <c r="C42" s="32"/>
      <c r="D42" s="32"/>
      <c r="E42" s="32" t="n">
        <f aca="false">SUM(E36:E41)</f>
        <v>559.278</v>
      </c>
      <c r="F42" s="33" t="n">
        <f aca="false">SUM(F36:F41)</f>
        <v>641.8938</v>
      </c>
      <c r="G42" s="34" t="n">
        <f aca="false">SUM(G36:G41)</f>
        <v>25675752</v>
      </c>
    </row>
    <row r="43" customFormat="false" ht="15" hidden="false" customHeight="false" outlineLevel="0" collapsed="false">
      <c r="B43" s="35" t="s">
        <v>33</v>
      </c>
      <c r="F43" s="36" t="n">
        <f aca="false">MAX(0.02*$E$6*SUM(E36:E40),SUM(E36:E40))*(1+$C$6)</f>
        <v>517.4358</v>
      </c>
      <c r="G43" s="37" t="n">
        <f aca="false">F43*$C$5</f>
        <v>20697432</v>
      </c>
    </row>
    <row r="45" customFormat="false" ht="21.75" hidden="false" customHeight="true" outlineLevel="0" collapsed="false">
      <c r="B45" s="22" t="s">
        <v>34</v>
      </c>
      <c r="C45" s="22"/>
      <c r="D45" s="22"/>
      <c r="E45" s="22"/>
      <c r="F45" s="22"/>
      <c r="G45" s="22"/>
    </row>
    <row r="46" customFormat="false" ht="15" hidden="false" customHeight="false" outlineLevel="0" collapsed="false">
      <c r="B46" s="23" t="s">
        <v>20</v>
      </c>
      <c r="C46" s="24" t="s">
        <v>21</v>
      </c>
      <c r="D46" s="24" t="s">
        <v>22</v>
      </c>
      <c r="E46" s="24" t="s">
        <v>23</v>
      </c>
      <c r="F46" s="24" t="s">
        <v>24</v>
      </c>
      <c r="G46" s="24" t="s">
        <v>25</v>
      </c>
    </row>
    <row r="47" customFormat="false" ht="15" hidden="false" customHeight="false" outlineLevel="0" collapsed="false">
      <c r="B47" s="25" t="s">
        <v>35</v>
      </c>
      <c r="C47" s="26" t="n">
        <v>727.14</v>
      </c>
      <c r="D47" s="27" t="n">
        <v>0.39</v>
      </c>
      <c r="E47" s="28" t="n">
        <f aca="false">C47*D47</f>
        <v>283.5846</v>
      </c>
      <c r="F47" s="28" t="n">
        <f aca="false">E47*(1+$C$6)</f>
        <v>337.465674</v>
      </c>
      <c r="G47" s="29" t="n">
        <f aca="false">F47*$C$5</f>
        <v>13498626.96</v>
      </c>
    </row>
    <row r="48" customFormat="false" ht="15" hidden="false" customHeight="false" outlineLevel="0" collapsed="false">
      <c r="B48" s="25" t="s">
        <v>29</v>
      </c>
      <c r="C48" s="30" t="n">
        <f aca="false">$E$5</f>
        <v>10</v>
      </c>
      <c r="D48" s="27" t="n">
        <v>3.5</v>
      </c>
      <c r="E48" s="28" t="n">
        <f aca="false">C48*D48</f>
        <v>35</v>
      </c>
      <c r="F48" s="28" t="n">
        <f aca="false">E48*(1+$C$6)</f>
        <v>41.65</v>
      </c>
      <c r="G48" s="29" t="n">
        <f aca="false">F48*$C$5</f>
        <v>1666000</v>
      </c>
    </row>
    <row r="49" customFormat="false" ht="15" hidden="false" customHeight="false" outlineLevel="0" collapsed="false">
      <c r="B49" s="25" t="s">
        <v>30</v>
      </c>
      <c r="C49" s="31" t="n">
        <f aca="false">$G$5</f>
        <v>10</v>
      </c>
      <c r="D49" s="27" t="n">
        <v>0.25</v>
      </c>
      <c r="E49" s="28" t="n">
        <f aca="false">C49*D49</f>
        <v>2.5</v>
      </c>
      <c r="F49" s="28" t="n">
        <f aca="false">E49*(1+$C$6)</f>
        <v>2.975</v>
      </c>
      <c r="G49" s="29" t="n">
        <f aca="false">F49*$C$5</f>
        <v>119000</v>
      </c>
    </row>
    <row r="50" customFormat="false" ht="15" hidden="false" customHeight="false" outlineLevel="0" collapsed="false">
      <c r="B50" s="25" t="s">
        <v>31</v>
      </c>
      <c r="C50" s="31" t="n">
        <f aca="false">C47</f>
        <v>727.14</v>
      </c>
      <c r="D50" s="27" t="n">
        <v>0.11</v>
      </c>
      <c r="E50" s="28" t="n">
        <f aca="false">C50*D50</f>
        <v>79.9854</v>
      </c>
      <c r="F50" s="28" t="n">
        <f aca="false">E50</f>
        <v>79.9854</v>
      </c>
      <c r="G50" s="29" t="n">
        <f aca="false">F50*$C$5</f>
        <v>3199416</v>
      </c>
    </row>
    <row r="51" customFormat="false" ht="15" hidden="false" customHeight="false" outlineLevel="0" collapsed="false">
      <c r="B51" s="32" t="s">
        <v>32</v>
      </c>
      <c r="C51" s="32"/>
      <c r="D51" s="32"/>
      <c r="E51" s="32" t="n">
        <f aca="false">SUM(E47:E50)</f>
        <v>401.07</v>
      </c>
      <c r="F51" s="33" t="n">
        <f aca="false">SUM(F47:F50)</f>
        <v>462.076074</v>
      </c>
      <c r="G51" s="34" t="n">
        <f aca="false">SUM(G47:G50)</f>
        <v>18483042.96</v>
      </c>
    </row>
    <row r="52" customFormat="false" ht="15" hidden="false" customHeight="false" outlineLevel="0" collapsed="false">
      <c r="B52" s="35" t="s">
        <v>33</v>
      </c>
      <c r="F52" s="36" t="n">
        <f aca="false">MAX(0.02*$E$6*SUM(E47:E49),SUM(E47:E49))*(1+$C$6)</f>
        <v>382.090674</v>
      </c>
      <c r="G52" s="37" t="n">
        <f aca="false">F52*$C$5</f>
        <v>15283626.96</v>
      </c>
    </row>
    <row r="54" customFormat="false" ht="21.75" hidden="false" customHeight="true" outlineLevel="0" collapsed="false">
      <c r="B54" s="22" t="s">
        <v>36</v>
      </c>
      <c r="C54" s="22"/>
      <c r="D54" s="22"/>
      <c r="E54" s="22"/>
      <c r="F54" s="22"/>
      <c r="G54" s="22"/>
    </row>
    <row r="55" customFormat="false" ht="15" hidden="false" customHeight="false" outlineLevel="0" collapsed="false">
      <c r="B55" s="23" t="s">
        <v>20</v>
      </c>
      <c r="C55" s="24" t="s">
        <v>21</v>
      </c>
      <c r="D55" s="24" t="s">
        <v>22</v>
      </c>
      <c r="E55" s="24" t="s">
        <v>23</v>
      </c>
      <c r="F55" s="24" t="s">
        <v>24</v>
      </c>
      <c r="G55" s="24" t="s">
        <v>25</v>
      </c>
    </row>
    <row r="56" customFormat="false" ht="15" hidden="false" customHeight="false" outlineLevel="0" collapsed="false">
      <c r="B56" s="25" t="s">
        <v>37</v>
      </c>
      <c r="C56" s="26" t="n">
        <v>959</v>
      </c>
      <c r="D56" s="27" t="n">
        <v>0.3</v>
      </c>
      <c r="E56" s="28" t="n">
        <f aca="false">C56*D56</f>
        <v>287.7</v>
      </c>
      <c r="F56" s="28" t="n">
        <f aca="false">E56*(1+$C$6)</f>
        <v>342.363</v>
      </c>
      <c r="G56" s="29" t="n">
        <f aca="false">F56*$C$5</f>
        <v>13694520</v>
      </c>
    </row>
    <row r="57" customFormat="false" ht="15" hidden="false" customHeight="false" outlineLevel="0" collapsed="false">
      <c r="B57" s="25" t="s">
        <v>29</v>
      </c>
      <c r="C57" s="30" t="n">
        <f aca="false">$E$5</f>
        <v>10</v>
      </c>
      <c r="D57" s="38" t="n">
        <v>3.5</v>
      </c>
      <c r="E57" s="28" t="n">
        <f aca="false">C57*D57</f>
        <v>35</v>
      </c>
      <c r="F57" s="28" t="n">
        <f aca="false">E57*(1+$C$6)</f>
        <v>41.65</v>
      </c>
      <c r="G57" s="29" t="n">
        <f aca="false">F57*$C$5</f>
        <v>1666000</v>
      </c>
    </row>
    <row r="58" customFormat="false" ht="15" hidden="false" customHeight="false" outlineLevel="0" collapsed="false">
      <c r="B58" s="25" t="s">
        <v>30</v>
      </c>
      <c r="C58" s="31" t="n">
        <f aca="false">$G$5</f>
        <v>10</v>
      </c>
      <c r="D58" s="38" t="n">
        <v>0.25</v>
      </c>
      <c r="E58" s="28" t="n">
        <f aca="false">C58*D58</f>
        <v>2.5</v>
      </c>
      <c r="F58" s="28" t="n">
        <f aca="false">E58*(1+$C$6)</f>
        <v>2.975</v>
      </c>
      <c r="G58" s="29" t="n">
        <f aca="false">F58*$C$5</f>
        <v>119000</v>
      </c>
    </row>
    <row r="59" customFormat="false" ht="15" hidden="false" customHeight="false" outlineLevel="0" collapsed="false">
      <c r="B59" s="25" t="s">
        <v>31</v>
      </c>
      <c r="C59" s="31" t="n">
        <f aca="false">C56</f>
        <v>959</v>
      </c>
      <c r="D59" s="38" t="n">
        <v>0.12</v>
      </c>
      <c r="E59" s="28" t="n">
        <f aca="false">C59*D59</f>
        <v>115.08</v>
      </c>
      <c r="F59" s="28" t="n">
        <f aca="false">E59</f>
        <v>115.08</v>
      </c>
      <c r="G59" s="29" t="n">
        <f aca="false">F59*$C$5</f>
        <v>4603200</v>
      </c>
    </row>
    <row r="60" customFormat="false" ht="15" hidden="false" customHeight="false" outlineLevel="0" collapsed="false">
      <c r="B60" s="32" t="s">
        <v>32</v>
      </c>
      <c r="C60" s="32"/>
      <c r="D60" s="32"/>
      <c r="E60" s="32" t="n">
        <f aca="false">SUM(E56:E59)</f>
        <v>440.28</v>
      </c>
      <c r="F60" s="33" t="n">
        <f aca="false">SUM(F56:F59)</f>
        <v>502.068</v>
      </c>
      <c r="G60" s="34" t="n">
        <f aca="false">SUM(G56:G59)</f>
        <v>20082720</v>
      </c>
    </row>
    <row r="61" customFormat="false" ht="15" hidden="false" customHeight="false" outlineLevel="0" collapsed="false">
      <c r="B61" s="35" t="s">
        <v>33</v>
      </c>
      <c r="F61" s="36" t="n">
        <f aca="false">MAX(0.02*$E$6*SUM(E56:E58),SUM(E56:E58))*(1+$C$6)</f>
        <v>386.988</v>
      </c>
      <c r="G61" s="37" t="n">
        <f aca="false">F61*$C$5</f>
        <v>15479520</v>
      </c>
    </row>
    <row r="63" customFormat="false" ht="15" hidden="false" customHeight="false" outlineLevel="0" collapsed="false">
      <c r="B63" s="39" t="s">
        <v>38</v>
      </c>
      <c r="C63" s="39"/>
      <c r="D63" s="39"/>
      <c r="E63" s="39"/>
      <c r="F63" s="39"/>
      <c r="G63" s="39"/>
    </row>
    <row r="64" customFormat="false" ht="15" hidden="false" customHeight="false" outlineLevel="0" collapsed="false">
      <c r="B64" s="40" t="s">
        <v>39</v>
      </c>
      <c r="C64" s="40"/>
      <c r="D64" s="40"/>
      <c r="E64" s="40"/>
      <c r="F64" s="40"/>
      <c r="G64" s="40"/>
    </row>
    <row r="65" customFormat="false" ht="15" hidden="false" customHeight="false" outlineLevel="0" collapsed="false">
      <c r="B65" s="40" t="s">
        <v>40</v>
      </c>
      <c r="C65" s="40"/>
      <c r="D65" s="40"/>
      <c r="E65" s="40"/>
      <c r="F65" s="40"/>
      <c r="G65" s="40"/>
    </row>
    <row r="66" customFormat="false" ht="15" hidden="false" customHeight="false" outlineLevel="0" collapsed="false">
      <c r="B66" s="40" t="s">
        <v>41</v>
      </c>
      <c r="C66" s="40"/>
      <c r="D66" s="40"/>
      <c r="E66" s="40"/>
      <c r="F66" s="40"/>
      <c r="G66" s="40"/>
    </row>
    <row r="67" customFormat="false" ht="15" hidden="false" customHeight="false" outlineLevel="0" collapsed="false">
      <c r="B67" s="40" t="s">
        <v>42</v>
      </c>
      <c r="C67" s="40"/>
      <c r="D67" s="40"/>
      <c r="E67" s="40"/>
      <c r="F67" s="40"/>
      <c r="G67" s="40"/>
    </row>
  </sheetData>
  <mergeCells count="38">
    <mergeCell ref="B1:G1"/>
    <mergeCell ref="B2:G2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33:G33"/>
    <mergeCell ref="B34:G34"/>
    <mergeCell ref="B45:G45"/>
    <mergeCell ref="B54:G54"/>
    <mergeCell ref="B63:G63"/>
    <mergeCell ref="B64:G64"/>
    <mergeCell ref="B65:G65"/>
    <mergeCell ref="B66:G66"/>
    <mergeCell ref="B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2026-09-30T22:58:46Z</dcterms:created>
  <dc:creator>openpyxl</dc:creator>
  <dc:description/>
  <dc:language>en-US</dc:language>
  <cp:lastModifiedBy/>
  <dcterms:modified xsi:type="dcterms:W3CDTF">2026-09-30T22:58:47Z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